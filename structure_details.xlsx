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technionmail-my.sharepoint.com/personal/shachar_f_campus_technion_ac_il/Documents/Technion/PhD/Interpretable ML for Corroles/CCDC porphyrin DFT analysis/"/>
    </mc:Choice>
  </mc:AlternateContent>
  <xr:revisionPtr revIDLastSave="189" documentId="11_F25DC773A252ABDACC1048F0B9DA59FE5BDE58EF" xr6:coauthVersionLast="47" xr6:coauthVersionMax="47" xr10:uidLastSave="{4345A07F-DA66-437F-9BF0-F820BE650418}"/>
  <bookViews>
    <workbookView xWindow="19800" yWindow="3570" windowWidth="21420" windowHeight="15285" activeTab="2" xr2:uid="{00000000-000D-0000-FFFF-FFFF00000000}"/>
  </bookViews>
  <sheets>
    <sheet name="all_structures" sheetId="1" r:id="rId1"/>
    <sheet name="papers" sheetId="2" r:id="rId2"/>
    <sheet name="nmr" sheetId="3" r:id="rId3"/>
    <sheet name="uvvis" sheetId="4" r:id="rId4"/>
  </sheets>
  <definedNames>
    <definedName name="_xlnm._FilterDatabase" localSheetId="0" hidden="1">all_structures!$A$1:$J$372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2" i="1"/>
</calcChain>
</file>

<file path=xl/sharedStrings.xml><?xml version="1.0" encoding="utf-8"?>
<sst xmlns="http://schemas.openxmlformats.org/spreadsheetml/2006/main" count="2987" uniqueCount="1634">
  <si>
    <t>id</t>
  </si>
  <si>
    <t>smiles</t>
  </si>
  <si>
    <t>structure_metadata</t>
  </si>
  <si>
    <t>doi</t>
  </si>
  <si>
    <t>journal</t>
  </si>
  <si>
    <t>ADIQAI</t>
  </si>
  <si>
    <t>c1ccccc1C1=c2ccc3=C(c4ccccc4)C4=[N]5[Mn]6([N]7=C1C=CC7=C(c1ccc(C(=C5C=C4)c4ccccc4)n61)c1ccccc1)(n23)O[Si](c1ccccc1)(c1ccccc1)c1ccccc1</t>
  </si>
  <si>
    <t>{"audit_creation_date": "2017-10-03", "audit_creation_method": "CSD-ConQuest-V1", "database_code_CSD": "ADIQAI", "database_code_depnum_ccdc_archive": "CCDC 1445098", "chemical_formula_sum": "C62 H43 Mn1 N4 O1 Si1", "chemical_formula_moiety": "", "journal_volume": "69", "journal_year": "2016", "journal_page_first": "1970", "journal_name_full": "J.Coord.Chem. ", "publ_author_name": ["D.J.Meininger", "Z.Kasrawi", "H.D.Arman", "Z.J.Tonzetich"]}</t>
  </si>
  <si>
    <t>10.1080/00958972.2016.1187727</t>
  </si>
  <si>
    <t xml:space="preserve">J.Coord.Chem. </t>
  </si>
  <si>
    <t>AKOTUQ</t>
  </si>
  <si>
    <t>[Ni@]123[N]4=C5C(=c6n1c(=C(c1cc(cc(c1)C(C)(C)C)C(C)(C)C)C1=[N]2C(=C(c2cc(cc(c2)C(C)(C)C)C(C)(C)C)c2ccc(C(=C4C=C5c4ncccc4)c4cc(C(C)(C)C)cc(C(C)(C)C)c4)n32)C=C1)cc6c1ncccc1)c1ccccc1</t>
  </si>
  <si>
    <t>{"audit_creation_date": "2011-06-07", "audit_creation_method": "CSD-ConQuest-V1", "database_code_CSD": "AKOTUQ", "database_code_depnum_ccdc_archive": "CCDC 813442", "chemical_formula_sum": "C90 H92 Cl2 N6 Ni1", "chemical_formula_moiety": "", "journal_volume": "29", "journal_year": "2010", "journal_page_first": "3997", "journal_name_full": "Organometallics ", "publ_author_name": ["K.Yoshida", "S.Yamaguchi", "A.Osuka", "H.Shinokubo"]}</t>
  </si>
  <si>
    <t>10.1021/om100644n</t>
  </si>
  <si>
    <t xml:space="preserve">Organometallics </t>
  </si>
  <si>
    <t>ALITEU</t>
  </si>
  <si>
    <t>C[C][N][Ru]123([N]4=C5C(=c6ccc(=C(c7c8c(cc9c7[C@@H]7C[C@H]9CC7)[C@H]7C[C@@H]8CC7)C7=[N]2C(=C(c2c8c(cc9c2[C@@H]2C[C@H]9CC2)[C@@H]2CC[C@H]8C2)c2ccc(n32)C(=C4C=C5)c2c3c(cc4[C@@H]5CC[C@@H](C5)c24)[C@H]2C[C@@H]3CC2)C=C7)n16)c1c2[C@@H]3C[C@H](c2cc2c1[C@@H]1C[C@H]2CC1)CC3)[P](F)(F)F</t>
  </si>
  <si>
    <t>{"audit_creation_date": "2004-02-17", "audit_creation_method": "CSD-ConQuest-V1", "database_code_CSD": "ALITEU", "database_code_depnum_ccdc_archive": "CCDC 210100", "chemical_formula_sum": "C92 H85 F3 N5 P1 Ru1", "chemical_formula_moiety": "", "journal_volume": "9", "journal_year": "2003", "journal_page_first": "4746", "journal_name_full": "Chem.-Eur.J. ", "publ_author_name": ["A.Berkessel", "P.Kaiser", "J.Lex"]}</t>
  </si>
  <si>
    <t>10.1002/chem.200305045</t>
  </si>
  <si>
    <t xml:space="preserve">Chem.-Eur.J. </t>
  </si>
  <si>
    <t>ANUYOY</t>
  </si>
  <si>
    <t>c1c2=C(C3=[N]4[Rh]56(C(=O)[C@H](C)CCCC(=O)C)n2c(=C(C2=[N]5C(=C(c5ccc(C(=C4C=C3)c3ccc(cc3)C)n65)c3ccc(cc3)C)C=C2)c2ccc(cc2)C)c1)c1ccc(cc1)C</t>
  </si>
  <si>
    <t>{"audit_creation_date": "2011-06-30", "audit_creation_method": "CSD-ConQuest-V1", "database_code_CSD": "ANUYOY", "database_code_depnum_ccdc_archive": "CCDC 815670", "chemical_formula_sum": "C56 H49 N4 O2 Rh1", "chemical_formula_moiety": "", "journal_volume": "29", "journal_year": "2010", "journal_page_first": "4421", "journal_name_full": "Organometallics ", "publ_author_name": ["Hong Sang Fung", "Bao Zhu Li", "Kin Shing Chan"]}</t>
  </si>
  <si>
    <t>10.1021/om1007852</t>
  </si>
  <si>
    <t>APANUC</t>
  </si>
  <si>
    <t>C(=O)(c1ccccc1)Oc1ccc(C2=c3ccc4=C(C5=[N]6[Zn]7(n34)([N]3=C2C=CC3=C(c2ccc(C(=C6C=C5)c3ccc(cc3)OC(=O)c3ccccc3)n72)c2ccc(cc2)OC(=O)c2ccccc2)[NH]2CCNCC2)c2ccc(cc2)OC(=O)c2ccccc2)cc1</t>
  </si>
  <si>
    <t>{"audit_creation_date": "2016-06-18", "audit_creation_method": "CSD-ConQuest-V1", "database_code_CSD": "APANUC", "database_code_depnum_ccdc_archive": "CCDC 1483991", "chemical_formula_sum": "C76 H54 N6 O8 Zn1", "chemical_formula_moiety": "", "journal_volume": "72", "journal_year": "2016", "journal_page_first": "937", "journal_name_full": "Acta Crystallogr.,Sect.E:Cryst.Commun. ", "publ_author_name": ["S.Nasri", "K.Ezzayani", "I.Turowska-Tyrk", "T.Roisnel", "H.Nasri"]}</t>
  </si>
  <si>
    <t>10.1107/s2056989016009269</t>
  </si>
  <si>
    <t xml:space="preserve">Acta Crystallogr.,Sect.E:Cryst.Commun. </t>
  </si>
  <si>
    <t>AQOYAI</t>
  </si>
  <si>
    <t>O([Zn]123[N]4=C5C=CC4=C(c4ccc(C(=C6C=CC(=[N]26)C(=c2ccc(=C5c5cc(cc(c5)OCCOCCOCCOC)OCCOCCOCCOC)n12)C#C[Si](C(C)C)(C(C)C)C(C)C)c1cc(OCCOCCOCCOC)cc(OCCOCCOCCOC)c1)n34)C#C[Si](C(C)C)(C(C)C)C(C)C)[S](C)C</t>
  </si>
  <si>
    <t>{"audit_creation_date": "2016-07-21", "audit_creation_method": "CSD-ConQuest-V1", "database_code_CSD": "AQOYAI", "database_code_depnum_ccdc_archive": "CCDC 1451986", "chemical_formula_sum": "C84 H122 N4 O17 S1 Si2 Zn1", "chemical_formula_moiety": "", "journal_volume": "18", "journal_year": "2016", "journal_page_first": "21954", "journal_name_full": "Phys.Chem.Chem.Phys.(PCCP) ", "publ_author_name": ["Md M.Alam", "F.Bolze", "C.Daniel", "L.Flamigni", "C.Gourlaouen", "V.Heitz", "S.Jenni", "J.Schmitt", "A.Sour", "B.Ventura"]}</t>
  </si>
  <si>
    <t>10.1039/c6cp01844k</t>
  </si>
  <si>
    <t xml:space="preserve">Phys.Chem.Chem.Phys.(PCCP) </t>
  </si>
  <si>
    <t>ARODOC</t>
  </si>
  <si>
    <t>c1cc(C)ccc1C1=C2[N]3=C(C=C2)C(=c2n4c(=C(C5=[N]6C(=C(c7ccc1n7[Rh]346/C=C/c1ccccc1)c1ccc(cc1)C)C=C5)c1ccc(cc1)C)cc2)c1ccc(cc1)C</t>
  </si>
  <si>
    <t>{"audit_creation_date": "2016-07-26", "audit_creation_method": "CSD-ConQuest-V1", "database_code_CSD": "ARODOC", "database_code_depnum_ccdc_archive": "CCDC 1496115", "chemical_formula_sum": "C56 H43 N4 Rh1", "chemical_formula_moiety": "", "journal_volume": "35", "journal_year": "2016", "journal_page_first": "1847", "journal_name_full": "Organometallics ", "publ_author_name": ["Ka Lai Wong", "Chen Chen", "Kin Shing Chan"]}</t>
  </si>
  <si>
    <t>10.1021/acs.organomet.6b00228</t>
  </si>
  <si>
    <t>ASIPIB</t>
  </si>
  <si>
    <t>C1(=C(CC)C2=C(c3c(c(c4C(=C5C(=C(C6=[N]5[Ni]5(n7c(=C6N(=O)=O)c(c(CC)c7=C(N(=O)=O)C1=[N]25)CC)(n34)(N1[CH]NC=C1)N1[CH]NC=C1)CC)CC)N(=O)=O)CC)CC)N(=O)=O)CC</t>
  </si>
  <si>
    <t>{"audit_creation_date": "2004-06-10", "audit_creation_method": "CSD-ConQuest-V1", "database_code_CSD": "ASIPIB", "database_code_depnum_ccdc_archive": "CCDC 232474", "chemical_formula_sum": "C46 H54 N14 Ni1 O8", "chemical_formula_moiety": "", "journal_volume": "108", "journal_year": "2004", "journal_page_first": "2173", "journal_name_full": "J.Phys.Chem.B ", "publ_author_name": ["K.M.Barkigia", "M.W.Renner", "M.O.Senge", "J.Fajer"]}</t>
  </si>
  <si>
    <t>10.1021/jp036398d</t>
  </si>
  <si>
    <t xml:space="preserve">J.Phys.Chem.B </t>
  </si>
  <si>
    <t>ASIPOH</t>
  </si>
  <si>
    <t>[Ni]123([N]4=C5C(=C(C4=C(c4c(c(c(C(=C6C(=C(C(=[N]36)C(=c3c(c(c(=C5N(=O)=O)n13)CC)CC)N(=O)=O)CC)CC)N(=O)=O)n24)CC)CC)N(=O)=O)CC)CC)(N1[CH]N(C=C1)C)N1[CH]N(C=C1)C</t>
  </si>
  <si>
    <t>{"audit_creation_date": "2004-06-10", "audit_creation_method": "CSD-ConQuest-V1", "database_code_CSD": "ASIPOH", "database_code_depnum_ccdc_archive": "CCDC 232475", "chemical_formula_sum": "C48 H58 N14 Ni1 O8", "chemical_formula_moiety": "", "journal_volume": "108", "journal_year": "2004", "journal_page_first": "2173", "journal_name_full": "J.Phys.Chem.B ", "publ_author_name": ["K.M.Barkigia", "M.W.Renner", "M.O.Senge", "J.Fajer"]}</t>
  </si>
  <si>
    <t>ASIPUN</t>
  </si>
  <si>
    <t>CCC1=C(CC)C2=C(N(=O)=O)c3c(c(c4C(=C5C(=C(C6=[N]5[Ni]5(n7c(=C6N(=O)=O)c(c(c7=C(C1=[N]25)N(=O)=O)CC)CC)(n34)(N1[CH]NC=C1)N1[CH]NC=C1)CC)CC)N(=O)=O)CC)CC</t>
  </si>
  <si>
    <t>{"audit_creation_date": "2004-06-10", "audit_creation_method": "CSD-ConQuest-V1", "database_code_CSD": "ASIPUN", "database_code_depnum_ccdc_archive": "CCDC 232476", "chemical_formula_sum": "C43 H50 Cl2 N12 Ni1 O8", "chemical_formula_moiety": "", "journal_volume": "108", "journal_year": "2004", "journal_page_first": "2173", "journal_name_full": "J.Phys.Chem.B ", "publ_author_name": ["K.M.Barkigia", "M.W.Renner", "M.O.Senge", "J.Fajer"]}</t>
  </si>
  <si>
    <t>ATEWUT</t>
  </si>
  <si>
    <t>CN(C)c1ccc(cc1)C1=c2c(C)c(C)c3=CC4=[N]5[Zn@]6(n23)n2c(C=C5C(=C4C)CC)c(CC)c(C)c2C=C2C(=C(C)C1=[N]62)C</t>
  </si>
  <si>
    <t>{"audit_creation_date": "2016-08-24", "audit_creation_method": "CSD-ConQuest-V1", "database_code_CSD": "ATEWUT", "database_code_depnum_ccdc_archive": "CCDC 1471067", "chemical_formula_sum": "C38 H41 N5 Zn1", "chemical_formula_moiety": "", "journal_volume": "32", "journal_year": "2016", "journal_page_first": "1293", "journal_name_full": "Wuji Huaxue Xuebao(Chin.)(Chin.J.Inorg.Chem.) ", "publ_author_name": ["Qiu-Yue Sha", "Xue-Mei Yuan", "Xiao-Yu  Wang", "Ji-Chao Chen", "Li Xu", "Hai-Jun Xu"]}</t>
  </si>
  <si>
    <t>10.1007/s40242-016-6093-7</t>
  </si>
  <si>
    <t xml:space="preserve">Wuji Huaxue Xuebao(Chin.)(Chin.J.Inorg.Chem.) </t>
  </si>
  <si>
    <t>ATUSOX</t>
  </si>
  <si>
    <t>[Zn]123(n4c5=C(C6=[N]1C(=C(c1ccccc1)c1n2c(cc1)C(=C1C=CC(=[N]31)C(=c4cc5)c1ccccc1)c1ccccc1)C=C6)c1ccccc1)O[S](C)C</t>
  </si>
  <si>
    <t>{"audit_creation_date": "2004-07-02", "audit_creation_method": "CSD-ConQuest-V1", "database_code_CSD": "ATUSOX", "database_code_depnum_ccdc_archive": "CCDC 239057", "chemical_formula_sum": "C47.79 H38.95 Cl0.63 N4 O1.79 S1.79 Zn1", "chemical_formula_moiety": "", "journal_volume": "60", "journal_year": "2004", "journal_page_first": "m579", "journal_name_full": "Acta Crystallogr.,Sect.E:Struct.Rep.Online ", "publ_author_name": ["M.Vinodu", "I.Goldberg"]}</t>
  </si>
  <si>
    <t>10.1107/s1600536804008591</t>
  </si>
  <si>
    <t xml:space="preserve">Acta Crystallogr.,Sect.E:Struct.Rep.Online </t>
  </si>
  <si>
    <t>AWIQEC</t>
  </si>
  <si>
    <t>c1(ccc(C2=C3[N]4=C(C=C3)C(=c3n5[Pt@@]64[N]4=C(C(=c5cc3)c3ccc(cc3)C(C)(C)C)C=CC4=C(c3ccc2n63)c2ccc(cc2)C(C)(C)C)c2ccc(cc2)C(C)(C)C)cc1)C(C)(C)C</t>
  </si>
  <si>
    <t>{"audit_creation_date": "2004-08-19", "audit_creation_method": "CSD-ConQuest-V1", "database_code_CSD": "AWIQEC", "database_code_depnum_ccdc_archive": "CCDC 182503", "chemical_formula_sum": "C66 H65 Cl1 N4 Pt1", "chemical_formula_moiety": "", "journal_volume": "76", "journal_year": "2003", "journal_page_first": "2123", "journal_name_full": "Bull.Chem.Soc.Jpn. ", "publ_author_name": ["M.Umemiya", "K.Sugiura", "H.Miyasaka", "T.Ishii", "M.Yamashita"]}</t>
  </si>
  <si>
    <t>10.1246/bcsj.76.2123</t>
  </si>
  <si>
    <t xml:space="preserve">Bull.Chem.Soc.Jpn. </t>
  </si>
  <si>
    <t>AWOMOP</t>
  </si>
  <si>
    <t>C(C)C1=C(CC)C2=Cc3c(CC)c(c4C=C5C(=C(C6=[N]5[Pt@]5(n7c(=C6c6ccccc6)c(c(CC)c7=CC1=[N]25)CC)n34)CC)CC)CC</t>
  </si>
  <si>
    <t>{"audit_creation_date": "2011-09-15", "audit_creation_method": "CSD-ConQuest-V1", "database_code_CSD": "AWOMOP", "database_code_depnum_ccdc_archive": "CCDC 841024", "chemical_formula_sum": "C42 H48 N4 Pt1", "chemical_formula_moiety": "", "journal_volume": "67", "journal_year": "2011", "journal_page_first": "m1077", "journal_name_full": "Acta Crystallogr.,Sect.E:Struct.Rep.Online ", "publ_author_name": ["M.O.Senge", "J.Richter"]}</t>
  </si>
  <si>
    <t>10.1107/s1600536811026882</t>
  </si>
  <si>
    <t>AXUWUL</t>
  </si>
  <si>
    <t>c1cccc(C2=c3ccc4=C(C#Cc5ccc(cc5)N(=O)=O)C5=[N]6C(=C(c7ccc8C(=C9C=CC2=[N]9[Ni@]6(n34)n78)C#CC2=CC=C[C@H]2[Fe][C@H]2C=CC=C2)c2ccccc2)C=C5)c1</t>
  </si>
  <si>
    <t>{"audit_creation_date": "2004-09-24", "audit_creation_method": "CSD-ConQuest-V1", "database_code_CSD": "AXUWUL", "database_code_depnum_ccdc_archive": "CCDC 224460", "chemical_formula_sum": "C53 H35 Cl3 Fe1 N5 Ni1 O3.5", "chemical_formula_moiety": "", "journal_volume": "689", "journal_year": "2004", "journal_page_first": "1593", "journal_name_full": "J.Organomet.Chem. ", "publ_author_name": ["Ka-Lok Cheng", "Hung-Wing Li", "D.K.P.Ng"]}</t>
  </si>
  <si>
    <t>10.1016/j.jorganchem.2004.02.007</t>
  </si>
  <si>
    <t xml:space="preserve">J.Organomet.Chem. </t>
  </si>
  <si>
    <t>AZIVEK</t>
  </si>
  <si>
    <t>[Pt@@]123[N]4=C5C(=C(C4=C(c4c(c(c(C(=C6C(=C(C(=[N]26)C(=c2c(c(c(=C5c5c(F)c(c(c(c5F)F)F)F)n12)F)F)c1c(c(c(c(c1F)F)F)F)F)F)F)c1c(c(c(c(c1F)F)F)F)F)n34)F)F)c1c(c(c(c(c1F)F)F)F)F)F)F</t>
  </si>
  <si>
    <t>{"audit_creation_date": "2004-11-10", "audit_creation_method": "CSD-ConQuest-V1", "database_code_CSD": "AZIVEK", "database_code_depnum_ccdc_archive": "CCDC 243129", "chemical_formula_sum": "C44 F28 N4 Pt1", "chemical_formula_moiety": "", "journal_volume": "43", "journal_year": "2004", "journal_page_first": "3724", "journal_name_full": "Inorg.Chem. ", "publ_author_name": ["Siu-Wai Lai", "Yuan-Jun Hou", "Chi-Ming Che", "Hei-Leung Pang", "Kwok-Yin Wong", "C.K.Chang", "Nianyong Zhu"]}</t>
  </si>
  <si>
    <t>10.1021/ic049902h</t>
  </si>
  <si>
    <t xml:space="preserve">Inorg.Chem. </t>
  </si>
  <si>
    <t>BADREE</t>
  </si>
  <si>
    <t>c12=CC3=[N]4C(=C(c5ccc6C(=C7C=CC8=[N]7[Zn@]4(n2c(=C8c2cc(cc(C(C)(C)C)c2)C(C)(C)C)cc1)n56)[N][N]c1ccccc1)c1cc(C(C)(C)C)cc(c1)C(C)(C)C)C=C3</t>
  </si>
  <si>
    <t>{"audit_creation_date": "2002-04-24", "audit_creation_method": "CSD-ConQuest-V1", "database_code_CSD": "BADREE", "database_code_depnum_ccdc_archive": "CCDC 173279", "chemical_formula_sum": "C57.75 H65 N6 Zn1", "chemical_formula_moiety": "", "journal_volume": null, "journal_year": "2002", "journal_page_first": "320", "journal_name_full": "J.Chem.Soc.,Perkin Trans.1 ", "publ_author_name": ["T.E.O.Screen", "I.M.Blake", "L.H.Rees", "W.Clegg", "S.J.Borwick", "H.L.Anderson"]}</t>
  </si>
  <si>
    <t>10.1039/b109915a</t>
  </si>
  <si>
    <t xml:space="preserve">J.Chem.Soc.,Perkin Trans.1 </t>
  </si>
  <si>
    <t>BAYDEL</t>
  </si>
  <si>
    <t>c12=CC3=[N]4C(=Cc5c(c(c6C=C7C(=C(C8=[N]7[Fe]4([C][S])(n2c(=C8)c(c1CC)CC)(N1C=CN(C)[CH]1)n56)CC)CC)CC)CC)C(=C3CC)CC</t>
  </si>
  <si>
    <t>{"audit_creation_date": "2004-01-20", "audit_creation_method": "CSD-ConQuest-V1", "database_code_CSD": "BAYDEL", "database_code_depnum_ccdc_archive": "CCDC 219777", "chemical_formula_sum": "C41 H50 Fe1 N6 S1", "chemical_formula_moiety": "", "journal_volume": "42", "journal_year": "2003", "journal_page_first": "5202", "journal_name_full": "Inorg.Chem. ", "publ_author_name": ["Changsheng Cao", "S.Dahal", "Mayou Shang", "A.M.Beatty", "W.Hibbs", "C.E.Schulz", "W.R.Scheidt"]}</t>
  </si>
  <si>
    <t>10.1021/ic030043r</t>
  </si>
  <si>
    <t>BEDCAO</t>
  </si>
  <si>
    <t>[Nb]123(n4c5=CC6=[N]3C(=Cc3c(c(CC)c(C=C7C(=C(C(=[N]17)C=c4c(c5CC)CC)CC)CC)n23)CC)C(=C6CC)CC)([O])F</t>
  </si>
  <si>
    <t>{"audit_creation_date": "1982-09-17", "audit_creation_method": "CSD-ConQuest-V1", "database_code_CSD": "BEDCAO", "database_code_depnum_ccdc_archive": "CCDC 1107700", "chemical_formula_sum": "C36 H44 F1 N4 Nb1 O1", "chemical_formula_moiety": "", "journal_volume": null, "journal_year": "1982", "journal_page_first": "247", "journal_name_full": "J.Chem.Soc.,Dalton Trans. ", "publ_author_name": ["C.Lecomte", "J.Protas", "P.Richard", "J.M.Barbe", "R.Guilard"]}</t>
  </si>
  <si>
    <t>10.1039/dt9820000247</t>
  </si>
  <si>
    <t xml:space="preserve">J.Chem.Soc.,Dalton Trans. </t>
  </si>
  <si>
    <t>BEGLUU</t>
  </si>
  <si>
    <t>[Ni@]123n4c5ccc4C(=C4C=CC(=[N]34)C(=c3ccc(=C(C4=[N]1C(=C5C)C=C4)C)n23)C)C</t>
  </si>
  <si>
    <t>{"audit_creation_date": "1982-09-16", "audit_creation_method": "CSD-ConQuest-V1", "database_code_CSD": "BEGLUU", "database_code_depnum_ccdc_archive": "CCDC 1107921", "chemical_formula_sum": "C36 H24 N8 Ni1", "chemical_formula_moiety": "", "journal_volume": "21", "journal_year": "1982", "journal_page_first": "199", "journal_name_full": "Inorg.Chem. ", "publ_author_name": ["L.J.Pace", "A.Ulman", "J.A.Ibers"]}</t>
  </si>
  <si>
    <t>10.1021/ic00131a037</t>
  </si>
  <si>
    <t>BITPFE</t>
  </si>
  <si>
    <t>c1(ccccc1)C1=C2[N]3=C(C=C2)C(=c2n4[Fe]53([N]3=C(C=CC3=C(c3ccccc3)c3n5c1cc3)C(=c4cc2)c1ccccc1)([C][N]C(C)(C)C)[C][N]C(C)(C)C)c1ccccc1</t>
  </si>
  <si>
    <t>{"audit_creation_date": "1979-11-16", "audit_creation_method": "CSD-ConQuest-V1", "database_code_CSD": "BITPFE", "database_code_depnum_ccdc_archive": null, "chemical_formula_sum": "C68 H62 Fe1 N6", "chemical_formula_moiety": "", "journal_volume": "18", "journal_year": "1979", "journal_page_first": "1200", "journal_name_full": "Inorg.Chem. ", "publ_author_name": ["G.B.Jameson", "J.A.Ibers"]}</t>
  </si>
  <si>
    <t>10.1021/ic50195a005</t>
  </si>
  <si>
    <t>BIYXIS</t>
  </si>
  <si>
    <t>C12=[N]3C(=C(c4ccc5C(=C6C=CC7=[N]6[Ir]3(C(=O)NCc3ccccc3)(n3c(=C7c6ccc(cc6)C)ccc3=C1c1ccc(C)cc1)(n45)N1C=CN(C)[CH]1)c1ccc(cc1)C)c1ccc(cc1)C)C=C2</t>
  </si>
  <si>
    <t>{"audit_creation_date": "2014-05-08", "audit_creation_method": "CSD-ConQuest-V1", "database_code_CSD": "BIYXIS", "database_code_depnum_ccdc_archive": "CCDC 977996", "chemical_formula_sum": "C72 H74 Ir1 N7 O4", "chemical_formula_moiety": "", "journal_volume": "33", "journal_year": "2014", "journal_page_first": "2266", "journal_name_full": "Organometallics ", "publ_author_name": ["T.O.Dairo", "A.Ellern", "R.J.Angelici", "L.Keith Woo"]}</t>
  </si>
  <si>
    <t>10.1021/om500189a</t>
  </si>
  <si>
    <t>BOHNUK</t>
  </si>
  <si>
    <t>O=C(C1=C[CH]N(C=C1)[Zn]123[N]4=C5C=CC4=C(c4ccc(C(=C6C=CC(=[N]26)C(=c2ccc(=C5c5ccccc5)n12)c1ccccc1)c1ccccc1)n34)c1ccccc1)O[Sn](c1c(cccc1)C=O)(C)C</t>
  </si>
  <si>
    <t>{"audit_creation_date": "2019-04-23", "audit_creation_method": "CSD-ConQuest-V1", "database_code_CSD": "BOHNUK", "database_code_depnum_ccdc_archive": "CCDC 1860613", "chemical_formula_sum": "C60 H45 Cl2 N5 O3 Sn1 Zn1", "chemical_formula_moiety": "", "journal_volume": "48", "journal_year": "2019", "journal_page_first": "6527", "journal_name_full": "Dalton Trans. ", "publ_author_name": ["A.-A.Somesan", "I.Barbul", "S.-M.Vieriu", "R.A.Varga", "C.Silvestru"]}</t>
  </si>
  <si>
    <t>10.1039/c9dt90287b</t>
  </si>
  <si>
    <t xml:space="preserve">Dalton Trans. </t>
  </si>
  <si>
    <t>BORJEY</t>
  </si>
  <si>
    <t>[Zn]123(n4c5=C(C6=[N]3C(=C(c3ccc(C(=C7C=CC(=[N]17)C(=c4cc5)c1ccccc1)c1ccccc1)n23)c1ccccc1)C=C6)c1ccccc1)N1[CH]C(=CC=C1)N</t>
  </si>
  <si>
    <t>{"audit_creation_date": "2009-08-25", "audit_creation_method": "CSD-ConQuest-V1", "database_code_CSD": "BORJEY", "database_code_depnum_ccdc_archive": "CCDC 706362", "chemical_formula_sum": "C49 H34 N6 Zn1", "chemical_formula_moiety": "", "journal_volume": null, "journal_year": "2009", "journal_page_first": "727", "journal_name_full": "Eur.J.Inorg.Chem. ", "publ_author_name": ["T.Kojima", "T.Nakanishi", "T.Honda", "R.Harada", "M.Shiro", "S.Fukuzumi"]}</t>
  </si>
  <si>
    <t>10.1002/ejic.200801040</t>
  </si>
  <si>
    <t xml:space="preserve">Eur.J.Inorg.Chem. </t>
  </si>
  <si>
    <t>BORJIC</t>
  </si>
  <si>
    <t>[Zn]123(N4[CH]C=C(C=C4)N)n4c5ccc4C(=C4C=CC(=[N]34)C(=c3ccc(=C(C4=[N]1C(=C5c1ccccc1)C=C4)c1ccccc1)n23)c1ccccc1)c1ccccc1</t>
  </si>
  <si>
    <t>{"audit_creation_date": "2009-08-25", "audit_creation_method": "CSD-ConQuest-V1", "database_code_CSD": "BORJIC", "database_code_depnum_ccdc_archive": "CCDC 706363", "chemical_formula_sum": "C50 H35 Cl3 N6 Zn1", "chemical_formula_moiety": "", "journal_volume": null, "journal_year": "2009", "journal_page_first": "727", "journal_name_full": "Eur.J.Inorg.Chem. ", "publ_author_name": ["T.Kojima", "T.Nakanishi", "T.Honda", "R.Harada", "M.Shiro", "S.Fukuzumi"]}</t>
  </si>
  <si>
    <t>BORJOI</t>
  </si>
  <si>
    <t>[Zn]123([NH2]c4cccnc4)n4c5=C(C6=[N]3C(=C(c3c(c(c(C(=C7C=CC(=[N]17)C(=c4c(c5c1ccccc1)c1ccccc1)c1ccccc1)c1ccccc1)n23)c1ccccc1)c1ccccc1)c1ccccc1)C=C6)c1ccccc1</t>
  </si>
  <si>
    <t>{"audit_creation_date": "2009-08-25", "audit_creation_method": "CSD-ConQuest-V1", "database_code_CSD": "BORJOI", "database_code_depnum_ccdc_archive": "CCDC 706364", "chemical_formula_sum": "C73 H50 N6 Zn1", "chemical_formula_moiety": "", "journal_volume": null, "journal_year": "2009", "journal_page_first": "727", "journal_name_full": "Eur.J.Inorg.Chem. ", "publ_author_name": ["T.Kojima", "T.Nakanishi", "T.Honda", "R.Harada", "M.Shiro", "S.Fukuzumi"]}</t>
  </si>
  <si>
    <t>BORKEZ</t>
  </si>
  <si>
    <t>c1ccc(cc1)c1c(c2ccccc2)c2n3c1C(=C1[N]4=C(C(=c5n6c(=C(C7=[N](C(=C2c2ccccc2)C(=C7c2ccccc2)c2ccccc2)[Zn]346N2[CH]C=C(C=C2)N)c2ccccc2)c(c5c2ccccc2)c2ccccc2)c2ccccc2)C(=C1c1ccccc1)c1ccccc1)c1ccccc1</t>
  </si>
  <si>
    <t>{"audit_creation_date": "2009-08-24", "audit_creation_method": "CSD-ConQuest-V1", "database_code_CSD": "BORKEZ", "database_code_depnum_ccdc_archive": "CCDC 706367", "chemical_formula_sum": "C104 H82 Cl2 N6 Zn1", "chemical_formula_moiety": "", "journal_volume": null, "journal_year": "2009", "journal_page_first": "727", "journal_name_full": "Eur.J.Inorg.Chem. ", "publ_author_name": ["T.Kojima", "T.Nakanishi", "T.Honda", "R.Harada", "M.Shiro", "S.Fukuzumi"]}</t>
  </si>
  <si>
    <t>BUFMUN</t>
  </si>
  <si>
    <t>c1cc(c2c3=CC4=[N]5[Ni@]67[N]8=C(C=CC8=C(c8ccc(C(=C5C=C4c4ccc(C=O)o4)c4ccc(cc4)C)n68)CCCC)C(=c(c2)n37)c2ccc(cc2)C)oc1C=O</t>
  </si>
  <si>
    <t>{"audit_creation_date": "2019-12-30", "audit_creation_method": "CSD-ConQuest-V1", "database_code_CSD": "BUFMUN", "database_code_depnum_ccdc_archive": "CCDC 1892186", "chemical_formula_sum": "C49 H37 Cl3 N4 Ni1 O4", "chemical_formula_moiety": "", "journal_volume": "58", "journal_year": "2019", "journal_page_first": "10946", "journal_name_full": "Angew.Chem.,Int.Ed. ", "publ_author_name": ["W.Stawski", "K.Hurej", "J.Skonieczny", "M.Pawlicki"]}</t>
  </si>
  <si>
    <t>10.1002/anie.201904819</t>
  </si>
  <si>
    <t xml:space="preserve">Angew.Chem.,Int.Ed. </t>
  </si>
  <si>
    <t>BUGJIX</t>
  </si>
  <si>
    <t>C12=C(c3ccccc3)c3ccc4C(=C5C(=C(C6=[N]5[Zn]5([N]2=C(C(=C1Br)Br)C(=c1ccc(=C6c2ccccc2)n51)c1ccccc1)(n34)N1[CH]C=CC=C1)Br)Br)c1ccccc1</t>
  </si>
  <si>
    <t>{"audit_creation_date": "2010-08-15", "audit_creation_method": "CSD-ConQuest-V1", "database_code_CSD": "BUGJIX", "database_code_depnum_ccdc_archive": "CCDC 737940", "chemical_formula_sum": "C51 H34 Br3 Cl2 N5 Zn1", "chemical_formula_moiety": "", "journal_volume": "51", "journal_year": "2010", "journal_page_first": "40", "journal_name_full": "Tetrahedron Lett. ", "publ_author_name": ["P.Bhyrappa", "V.Velkannan"]}</t>
  </si>
  <si>
    <t>10.1016/j.tetlet.2009.10.039</t>
  </si>
  <si>
    <t xml:space="preserve">Tetrahedron Lett. </t>
  </si>
  <si>
    <t>BUSFON</t>
  </si>
  <si>
    <t>[Zn]123(n4c5=C(c6ccccc6)C6=[N]1C(=C(c1ccc(C(=C7C=CC(=[N]37)C(=c4cc5)c3ccccc3)c3ccccc3)n21)c1ccccc1)C=C6)O[N](C)(C)C</t>
  </si>
  <si>
    <t>{"audit_creation_date": "2020-06-01", "audit_creation_method": "CSD-ConQuest-V1", "database_code_CSD": "BUSFON", "database_code_depnum_ccdc_archive": "CCDC 921098", "chemical_formula_sum": "C48 H39 Cl2 N5 O1 Zn1", "chemical_formula_moiety": "", "journal_volume": null, "journal_year": "2020", "journal_page_first": null, "journal_name_full": "CSD Communication(Private Communication) ", "publ_author_name": ["N.Paul", "R.Sarkar", "S.Sarkar"]}</t>
  </si>
  <si>
    <t>10.30707/tlcsd4.3/jnxd4642</t>
  </si>
  <si>
    <t xml:space="preserve">CSD Communication(Private Communication) </t>
  </si>
  <si>
    <t>BUVKOV</t>
  </si>
  <si>
    <t>[Co]123(C(=O)OC)[N]4=C5C=CC4=C(c4ccc(O)cc4)c4n3c(C(=C3C=CC(=[N]23)C(=c2ccc(=C5c3c(cc(cc3C)C)C)n12)c1c(cc(cc1C)C)C)c1c(cc(cc1C)C)C)cc4</t>
  </si>
  <si>
    <t>{"audit_creation_date": "2020-06-02", "audit_creation_method": "CSD-ConQuest-V1", "database_code_CSD": "BUVKOV", "database_code_depnum_ccdc_archive": "CCDC 1972804", "chemical_formula_sum": "C55 H49 Co1 N4 O3", "chemical_formula_moiety": "", "journal_volume": "11", "journal_year": "2020", "journal_page_first": "4387", "journal_name_full": "Polym.Chem. ", "publ_author_name": ["Zhenqiang Wu", "Chi-How Peng", "Xuefeng Fu"]}</t>
  </si>
  <si>
    <t>10.1039/d0py00587h</t>
  </si>
  <si>
    <t xml:space="preserve">Polym.Chem. </t>
  </si>
  <si>
    <t>BUXVOG</t>
  </si>
  <si>
    <t>c1c(c(c2cc(cs2)OCCCCCC)sc1c1scc(OCCCCCC)c1)/C=C/C1=c2ccc3=C(C4=[N]5C(=Cc6n7[Ni@@]5([N]5=C1C=CC5=C(c1ccccc1)c7cc6)n23)C=C4)c1ccccc1</t>
  </si>
  <si>
    <t>{"audit_creation_date": "2011-01-20", "audit_creation_method": "CSD-ConQuest-V1", "database_code_CSD": "BUXVOG", "database_code_depnum_ccdc_archive": "CCDC 733393", "chemical_formula_sum": "C58 H52 N4 Ni1 O2 S3", "chemical_formula_moiety": "", "journal_volume": "211", "journal_year": "2010", "journal_page_first": "359", "journal_name_full": "Macromol.Chem.Phys. ", "publ_author_name": ["M.J.Zollner", "J.S.Frahmcke", "M.Elstner", "U.Jahn", "P.G.Jones", "E.Becker", "W.Kowalsky", "H.-H.Johannes"]}</t>
  </si>
  <si>
    <t>10.1002/macp.201090038</t>
  </si>
  <si>
    <t xml:space="preserve">Macromol.Chem.Phys. </t>
  </si>
  <si>
    <t>CAHCOH</t>
  </si>
  <si>
    <t>S=C(N[C@H]1[C@@H](CCCC1)[NH2][Zn]123[N]4=C5C(=c6ccc(=C(C7=[N]2C(=C(c2ccc(Cl)cc2)c2n1c(C(=C4C=C5)c1ccc(Cl)cc1)cc2)C=C7)c1ccc(cc1)Cl)n36)c1ccc(cc1)Cl)Nc1ccccc1</t>
  </si>
  <si>
    <t>{"audit_creation_date": "2021-10-21", "audit_creation_method": "CSD-ConQuest-V1", "database_code_CSD": "CAHCOH", "database_code_depnum_ccdc_archive": "CCDC 2081478", "chemical_formula_sum": "C58 H45 Cl6 N7 S1 Zn1", "chemical_formula_moiety": "", "journal_volume": "9", "journal_year": "2021", "journal_page_first": "278", "journal_name_full": "Chemosensors ", "publ_author_name": ["N.Konrad", "M.Horetski", "M.Sihtmae", "Khai-Nghi Truong", "I.Osadchuk", "T.Burankova", "M.Kielmann", "J.Adamson", "A.Kahru", "K.Rissanen", "M.O.Senge", "V.Borovkov", "R.Aav", "D.Kananovich"]}</t>
  </si>
  <si>
    <t>10.3390/chemosensors9100278</t>
  </si>
  <si>
    <t xml:space="preserve">Chemosensors </t>
  </si>
  <si>
    <t>CAQMUF</t>
  </si>
  <si>
    <t>c1(c(c(c(c(c1F)F)F)F)F)C1=c2n3[Ni@@]45[N]6=C(C(=c3cc2)O)C=CC6=C(c2n4c(cc2)C(=C2[N]5=C1C=C2)c1c(c(c(c(F)c1F)F)F)F)c1c(F)c(F)c(F)c(F)c1F</t>
  </si>
  <si>
    <t>{"audit_creation_date": "2017-05-23", "audit_creation_method": "CSD-ConQuest-V1", "database_code_CSD": "CAQMUF", "database_code_depnum_ccdc_archive": "CCDC 1536338", "chemical_formula_sum": "C44 H21.5 F15 N4 Ni1 O3", "chemical_formula_moiety": "", "journal_volume": "46", "journal_year": "2017", "journal_page_first": "8924", "journal_name_full": "Dalton Trans. ", "publ_author_name": ["Y.Sasano", "N.Yasuda", "H.Maeda"]}</t>
  </si>
  <si>
    <t>10.1039/c7dt01635b</t>
  </si>
  <si>
    <t>CAQNEO</t>
  </si>
  <si>
    <t>[Ru]123([N]4=C5C(=C(C4=Cc4c(c(c(C=C6C(=C(C(=[N]26)C=c2c(c(c(=C5)n12)CC)CC)CC)CC)n34)CC)CC)CC)CC)([N][O])Cl</t>
  </si>
  <si>
    <t>{"audit_creation_date": "2005-09-21", "audit_creation_method": "CSD-ConQuest-V1", "database_code_CSD": "CAQNEO", "database_code_depnum_ccdc_archive": "CCDC 236941", "chemical_formula_sum": "C37 H46 Cl3 N5 O1 Ru1", "chemical_formula_moiety": "", "journal_volume": "358", "journal_year": "2005", "journal_page_first": "2855", "journal_name_full": "Inorg.Chim.Acta ", "publ_author_name": ["Nan Xu", "Jonghyuk Lee", "D.R.Powell", "G.B.Richter-Addo"]}</t>
  </si>
  <si>
    <t>10.1016/j.ica.2004.06.031</t>
  </si>
  <si>
    <t xml:space="preserve">Inorg.Chim.Acta </t>
  </si>
  <si>
    <t>CASNOC</t>
  </si>
  <si>
    <t>c1(CCC(=O)OC)c2C=C3C(=C(C4=[N]3[Zn@@]35n6c(=C4)c(c(c6=CC4=[N]3C(=Cc(n25)c1C)C(=C4C)C)C)C)C)CCC(=O)OC</t>
  </si>
  <si>
    <t>{"audit_creation_date": "2017-05-24", "audit_creation_method": "CSD-ConQuest-V1", "database_code_CSD": "CASNOC", "database_code_depnum_ccdc_archive": "CCDC 1552212", "chemical_formula_sum": "C34 H36 N4 O4 Zn1", "chemical_formula_moiety": "", "journal_volume": null, "journal_year": "2017", "journal_page_first": null, "journal_name_full": "CSD Communication(Private Communication) ", "publ_author_name": ["J.Caleb Clark", "F.R.Fronczek", "M.Graca H.Vicente"]}</t>
  </si>
  <si>
    <t>10.1093/acrefore/9780190228613.013.460</t>
  </si>
  <si>
    <t>CEBMAZ</t>
  </si>
  <si>
    <t>c1(ccccc1)C1=C2[N]3=C(C(=c4ccc5=C(c6ccccc6)C6=[N]7C(=C(c8n([Zn@]37n45)c1cc8[C@@H]1N(c3ccc(cc3)C)[N][C](C1)C(=O)OCC)c1ccccc1)C=C6)c1ccccc1)C=C2</t>
  </si>
  <si>
    <t>{"audit_creation_date": "2013-02-22", "audit_creation_method": "CSD-ConQuest-V1", "database_code_CSD": "CEBMAZ", "database_code_depnum_ccdc_archive": "CCDC 878828", "chemical_formula_sum": "C57 H42 N6 O2 Zn1", "chemical_formula_moiety": "", "journal_volume": "68", "journal_year": "2012", "journal_page_first": "8181", "journal_name_full": "Tetrahedron ", "publ_author_name": ["N.M.M.Moura", "M.A.F.Faustino", "M.G.P.M.S.Neves", "A.C.Tome", "E.M.Rakib", "A.Hannioui", "S.Mojahidi", "S.Hackbarth", "B.Roder", "F.A.A.Paz", "A.M.S.Silva", "J.A.S.Cavaleiro"]}</t>
  </si>
  <si>
    <t>10.1016/j.tet.2012.07.072</t>
  </si>
  <si>
    <t xml:space="preserve">Tetrahedron </t>
  </si>
  <si>
    <t>CEHVIX</t>
  </si>
  <si>
    <t>C1(=c2n3[Fe]45(N6[CH]N(C=C6)C)([N]6=C1C=CC6=C(c1ccc(C(=C6C=CC(=[N]46)C(=c3cc2)c2ccccc2NC(=O)c2n(cnc2)C)c2c(NC(=O)c3cncn3C)cccc2)n51)c1c(cccc1)NC(=O)c1cncn1C)N1[CH]N(C)C=C1)c1ccccc1NC(=O)c1cncn1C</t>
  </si>
  <si>
    <t>{"audit_creation_date": "2017-10-05", "audit_creation_method": "CSD-ConQuest-V1", "database_code_CSD": "CEHVIX", "database_code_depnum_ccdc_archive": "CCDC 1507718", "chemical_formula_sum": "C78.4 H72.8 Fe1 N20 O5.6", "chemical_formula_moiety": "", "journal_volume": "56", "journal_year": "2017", "journal_page_first": "12615", "journal_name_full": "Inorg.Chem. ", "publ_author_name": ["Zhen Yao", "C.E.Schulz", "Nana Zhan", "Jianfeng Li"]}</t>
  </si>
  <si>
    <t>10.1021/acs.inorgchem.7b02092</t>
  </si>
  <si>
    <t>CEHVUJ</t>
  </si>
  <si>
    <t>c1(cncn1C)C(=O)Nc1c(C2=c3ccc4=C(c5ccccc5NC(=O)c5cncn5C)C5=[N]6[Fe]7(n34)(n3c(ccc3C(=C3C=CC2=[N]73)c2ccccc2NC(=O)c2cncn2C)C(=C6C=C5)c2ccccc2NC(=O)c2cncn2C)(N2[CH]N(C=C2)CC)N2[CH]N(C=C2)CC)cccc1</t>
  </si>
  <si>
    <t>{"audit_creation_date": "2017-10-05", "audit_creation_method": "CSD-ConQuest-V1", "database_code_CSD": "CEHVUJ", "database_code_depnum_ccdc_archive": "CCDC 1507719", "chemical_formula_sum": "C80 H70 Fe1 N20 O4", "chemical_formula_moiety": "", "journal_volume": "56", "journal_year": "2017", "journal_page_first": "12615", "journal_name_full": "Inorg.Chem. ", "publ_author_name": ["Zhen Yao", "C.E.Schulz", "Nana Zhan", "Jianfeng Li"]}</t>
  </si>
  <si>
    <t>CETWON</t>
  </si>
  <si>
    <t>c1ccc(cc1)C1=c2ccc3=C(c4ccccc4)C4=[N]5[Fe]6(O[S@@]([O])C7=C[C]=[C]C=[C]7)(n7c(ccc7C(=C5C=C4)c4ccccc4)C(=C4C=CC1=[N]64)c1ccccc1)n23</t>
  </si>
  <si>
    <t>{"audit_creation_date": "1985-02-07", "audit_creation_method": "CSD-ConQuest-V1", "database_code_CSD": "CETWON", "database_code_depnum_ccdc_archive": null, "chemical_formula_sum": "C50 H33 Fe1 N4 O2 S1", "chemical_formula_moiety": "", "journal_volume": null, "journal_year": "1984", "journal_page_first": "567", "journal_name_full": "J.Chem.Soc.,Dalton Trans. ", "publ_author_name": ["P.Cocolios", "G.Lagrange", "R.Guilard", "H.Oumous", "C.Lecomte"]}</t>
  </si>
  <si>
    <t>10.1039/dt9840000567</t>
  </si>
  <si>
    <t>CEZKEX01</t>
  </si>
  <si>
    <t>c1ccccc1C1=c2ccc3=C(C4=[N]5[Pt@]6([N]7=C1C=CC7=C(c1ccc(C(=C5C=C4)c4ccccc4)n61)c1ccccc1)n23)c1ccccc1</t>
  </si>
  <si>
    <t>{"audit_creation_date": "2014-07-11", "audit_creation_method": "CSD-ConQuest-V1", "database_code_CSD": "CEZKEX01", "database_code_depnum_ccdc_archive": "CCDC 753551", "chemical_formula_sum": "C44 H28 N4 Pt1", "chemical_formula_moiety": "", "journal_volume": null, "journal_year": "2010", "journal_page_first": null, "journal_name_full": "CSD Communication(Private Communication) ", "publ_author_name": ["S.D.Hoffmann", "T.F.Faessler", "J.W.Buchler"]}</t>
  </si>
  <si>
    <t>10.1007/978-3-642-03296-7_9</t>
  </si>
  <si>
    <t>CIBTIS</t>
  </si>
  <si>
    <t>[Zn]123(N4[CH]C=CC=C4)[N]4=C5C=c6ccc(=CC7=[N]2C(=Cc2n1c(C=C4C=C5)cc2)C=C7)n36</t>
  </si>
  <si>
    <t>{"audit_creation_date": "2013-07-07", "audit_creation_method": "CSD-ConQuest-V1", "database_code_CSD": "CIBTIS", "database_code_depnum_ccdc_archive": "CCDC 912743", "chemical_formula_sum": "C25 H17 N5 Zn1", "chemical_formula_moiety": "", "journal_volume": "16", "journal_year": "2013", "journal_page_first": "540", "journal_name_full": "Comptes Rendus Chimie ", "publ_author_name": ["C.H.Devillers", "A.K.D.Dime", "H.Cattey", "D.Lucas"]}</t>
  </si>
  <si>
    <t>10.1016/j.crci.2013.01.015</t>
  </si>
  <si>
    <t xml:space="preserve">Comptes Rendus Chimie </t>
  </si>
  <si>
    <t>CICQAG</t>
  </si>
  <si>
    <t>c1(ccccc1)C[NH2][Fe]123([N]4=C5C(=c6ccc(=C(C7=[N]1C(=C(c1ccc(C(=C4C=C5)c4ccccc4)n31)c1ccccc1)C=C7)c1ccccc1)n26)c1ccccc1)[NH2]Cc1ccccc1</t>
  </si>
  <si>
    <t>{"audit_creation_date": "2000-02-03", "audit_creation_method": "CSD-ConQuest-V1", "database_code_CSD": "CICQAG", "database_code_depnum_ccdc_archive": "CCDC 137040", "chemical_formula_sum": "C58 H46 Fe1 N6", "chemical_formula_moiety": "", "journal_volume": "38", "journal_year": "1999", "journal_page_first": "4724", "journal_name_full": "Inorg.Chem. ", "publ_author_name": ["O.Q.Munro", "P.S.Madlala", "R.A.F.Warby", "T.B.Seda", "G.Hearne"]}</t>
  </si>
  <si>
    <t>10.1021/ic990178q</t>
  </si>
  <si>
    <t>CONQOL</t>
  </si>
  <si>
    <t>c1(ccccc1)C1=c2cc(c3=C(C4=[N]5[Co]6(n23)([N]2=C1C(=C(C2=C(c1ccc(C(=C5C(=C4Br)Br)c2ccccc2)n61)c1ccccc1)Br)Br)N1OO1)c1ccccc1)N(=O)=O</t>
  </si>
  <si>
    <t>{"audit_creation_date": "2000-05-03", "audit_creation_method": "CSD-ConQuest-V1", "database_code_CSD": "CONQOL", "database_code_depnum_ccdc_archive": null, "chemical_formula_sum": "C48 H35 Br4 Co1 N6 O5", "chemical_formula_moiety": "", "journal_volume": null, "journal_year": "1999", "journal_page_first": "1595", "journal_name_full": "J.Chem.Soc.,Dalton Trans. ", "publ_author_name": ["K.M.Kadish", "Zhongping Ou", "Xiaoyu Tan", "T.Boschi", "D.Monti", "V.Fares", "P.Tagliatesta"]}</t>
  </si>
  <si>
    <t>10.1039/a809719d</t>
  </si>
  <si>
    <t>DAFBOC</t>
  </si>
  <si>
    <t>Clc1c(C2=c3n4[Ru]56([C](c7ccccc7)c7ccccc7)[N]7=C(C(=c4cc3)c3c(Cl)cccc3Cl)C=CC7=C(c3n5c(cc3)C(=C3C=CC2=[N]63)c2c(Cl)cccc2Cl)c2c(cccc2Cl)Cl)c(Cl)ccc1</t>
  </si>
  <si>
    <t>{"audit_creation_date": "2004-12-02", "audit_creation_method": "CSD-ConQuest-V1", "database_code_CSD": "DAFBOC", "database_code_depnum_ccdc_archive": "CCDC 224979", "chemical_formula_sum": "C58 H32 Cl10 N4 Ru1", "chemical_formula_moiety": "", "journal_volume": "10", "journal_year": "2004", "journal_page_first": "3486", "journal_name_full": "Chem.-Eur.J. ", "publ_author_name": ["Yan Li", "Jie-Sheng Huang", "Guo-Bao Xu", "Nianyong Zhu", "Zhong-Yuan Zhou", "Chi-Ming Che", "Kwok-Yin Wong"]}</t>
  </si>
  <si>
    <t>10.1002/chem.200490035</t>
  </si>
  <si>
    <t>DAFCIX</t>
  </si>
  <si>
    <t>C1(=c2ccc3=C(C4=[N]5[Ru]6([C](c7ccccc7)c7ccccc7)(n23)(N2[CH]N(C=C2)C)n2c(C(=C5C=C4)c3c(c(c(c(c3F)F)F)F)F)ccc2C(=C2C=CC1=[N]62)c1c(c(c(c(c1F)F)F)F)F)c1c(c(c(c(c1F)F)F)F)F)c1c(c(c(c(c1F)F)F)F)F</t>
  </si>
  <si>
    <t>{"audit_creation_date": "2004-12-02", "audit_creation_method": "CSD-ConQuest-V1", "database_code_CSD": "DAFCIX", "database_code_depnum_ccdc_archive": "CCDC 224983", "chemical_formula_sum": "C61 H24 F20 N6 Ru1", "chemical_formula_moiety": "", "journal_volume": "10", "journal_year": "2004", "journal_page_first": "3486", "journal_name_full": "Chem.-Eur.J. ", "publ_author_name": ["Yan Li", "Jie-Sheng Huang", "Guo-Bao Xu", "Nianyong Zhu", "Zhong-Yuan Zhou", "Chi-Ming Che", "Kwok-Yin Wong"]}</t>
  </si>
  <si>
    <t>DAFCOD</t>
  </si>
  <si>
    <t>C12=[N]3[Os]45([C](c6ccccc6)c6ccccc6)(n6c(=C1c1c(c(c(c(c1F)F)F)F)F)ccc6=C(C1=[N]4C(=C(c4ccc(C(=C3C=C2)c2c(c(c(c(c2F)F)F)F)F)n54)c2c(c(c(c(c2F)F)F)F)F)C=C1)c1c(c(c(c(c1F)F)F)F)F)N1[CH]N(C=C1)C</t>
  </si>
  <si>
    <t>{"audit_creation_date": "2004-12-02", "audit_creation_method": "CSD-ConQuest-V1", "database_code_CSD": "DAFCOD", "database_code_depnum_ccdc_archive": "CCDC 224984", "chemical_formula_sum": "C61 H24 F20 N6 Os1", "chemical_formula_moiety": "", "journal_volume": "10", "journal_year": "2004", "journal_page_first": "3486", "journal_name_full": "Chem.-Eur.J. ", "publ_author_name": ["Yan Li", "Jie-Sheng Huang", "Guo-Bao Xu", "Nianyong Zhu", "Zhong-Yuan Zhou", "Chi-Ming Che", "Kwok-Yin Wong"]}</t>
  </si>
  <si>
    <t>DAGSUC</t>
  </si>
  <si>
    <t>c12=C(C3=[N]4C(=C(c5ccccc5)c5ccc6n5[Zn@@]54[N]4=C(C=CC4=C6c4cccc6cccc(c46)C(=O)OCCCCCl)C(=c(cc1)n25)c1ccccc1)C=C3)c1ccccc1</t>
  </si>
  <si>
    <t>{"audit_creation_date": "2016-12-12", "audit_creation_method": "CSD-ConQuest-V1", "database_code_CSD": "DAGSUC", "database_code_depnum_ccdc_archive": "CCDC 1007148", "chemical_formula_sum": "C54 H39 Cl3 N4 O2 Zn1", "chemical_formula_moiety": "", "journal_volume": "47", "journal_year": "2017", "journal_page_first": "597", "journal_name_full": "Inorg.Nano-Metal Chem. ", "publ_author_name": ["Huan Liu", "Caifen Ou", "Ben Ma", "Chuanjiang Hu"]}</t>
  </si>
  <si>
    <t>10.1080/24701556.2017.1357616</t>
  </si>
  <si>
    <t xml:space="preserve">Inorg.Nano-Metal Chem. </t>
  </si>
  <si>
    <t>DAHSUB</t>
  </si>
  <si>
    <t>[Cd]123([N]4=C5C(=c6ccc(=C(C7=[N]2C(=C(c2ccc(C(=C4C=C5)c4ccc(cc4)Cl)n32)c2ccc(cc2)Cl)C=C7)c2ccc(cc2)Cl)n16)c1ccc(cc1)Cl)N1[CH]C=CC=C1</t>
  </si>
  <si>
    <t>{"audit_creation_date": "2005-04-12", "audit_creation_method": "CSD-ConQuest-V1", "database_code_CSD": "DAHSUB", "database_code_depnum_ccdc_archive": "CCDC 225194", "chemical_formula_sum": "C54 H34 Cd1 Cl4 N6", "chemical_formula_moiety": "", "journal_volume": "7", "journal_year": "2004", "journal_page_first": "1233", "journal_name_full": "Inorg.Chem.Commun. ", "publ_author_name": ["Wun-Sian Wun", "Jyh-Horung Chen", "Shin-Shin Wang", "Jo-Yu Tung", "Feng-Ling Liao", "Sue-Lein Wang", "Lian-Pin Hwang", "Shanmugam Elango"]}</t>
  </si>
  <si>
    <t>10.1016/j.inoche.2004.09.015</t>
  </si>
  <si>
    <t xml:space="preserve">Inorg.Chem.Commun. </t>
  </si>
  <si>
    <t>DEFKIM</t>
  </si>
  <si>
    <t>[Zn]123([N]4=C5C=CC4=C(c4ccccc4)c4n2c(cc4)C(=C2[N]1=C(C(=c1n3c(=C5c3ccccc3)cc1)CN1[CH]C=C(N(C)C)C=C1)C=C2)c1ccccc1)OC(=O)C(F)(F)F</t>
  </si>
  <si>
    <t>{"audit_creation_date": "2022-06-29", "audit_creation_method": "CSD-ConQuest-V1", "database_code_CSD": "DEFKIM", "database_code_depnum_ccdc_archive": "CCDC 1973540", "chemical_formula_sum": "C48 H35 F3 N6 O2 Zn1", "chemical_formula_moiety": "", "journal_volume": "13", "journal_year": "2022", "journal_page_first": "3614", "journal_name_full": "Nat.Commun. ", "publ_author_name": ["A.R.Sekhar", "Y.Chitose", "Jiri Janos", "S.I.Dangoor", "A.Ramundo", "R.Satchi-Fainaro", "P.Slavicek", "Petr Klan", "R.Weinstain"]}</t>
  </si>
  <si>
    <t>10.1038/s41467-022-31288-2</t>
  </si>
  <si>
    <t xml:space="preserve">Nat.Commun. </t>
  </si>
  <si>
    <t>DEGQUD</t>
  </si>
  <si>
    <t>[Zn]123(n4c5=C(C6=[N]3C(=C(c3ccc(cc3)Br)c3ccc(C(=C7C=CC(=[N]17)C(=c4cc5)c1ccc(cc1)Br)c1ccncc1)n23)C=C6)c1ccncc1)N1[CH]C=CC=C1</t>
  </si>
  <si>
    <t>{"audit_creation_date": "2013-02-01", "audit_creation_method": "CSD-ConQuest-V1", "database_code_CSD": "DEGQUD", "database_code_depnum_ccdc_archive": "CCDC 835029", "chemical_formula_sum": "C47 H29 Br2 N7 Zn1", "chemical_formula_moiety": "", "journal_volume": "15", "journal_year": "2011", "journal_page_first": "1250", "journal_name_full": "J.Porphyrins Phthalocyanines ", "publ_author_name": ["H.M.Titi", "A.Karmakar", "I.Goldberg"]}</t>
  </si>
  <si>
    <t>10.1142/s1088424611004166</t>
  </si>
  <si>
    <t xml:space="preserve">J.Porphyrins Phthalocyanines </t>
  </si>
  <si>
    <t>DITDES</t>
  </si>
  <si>
    <t>c1c2n3c(C=C4[N]5=C(C(=c6ccc7=C(C8=[N](C(=C2c2ccccc2)C=C8)[Ni@]35n67)c2ccccc2)c2ccccc2)C=C4)c1</t>
  </si>
  <si>
    <t>{"audit_creation_date": "2018-11-28", "audit_creation_method": "CSD-ConQuest-V1", "database_code_CSD": "DITDES", "database_code_depnum_ccdc_archive": "CCDC 1881841", "chemical_formula_sum": "C38 H24 N4 Ni1", "chemical_formula_moiety": "", "journal_volume": null, "journal_year": "2018", "journal_page_first": null, "journal_name_full": "CSD Communication(Private Communication) ", "publ_author_name": ["U.Florke", "M.Tunnermann", "M.Bauer"]}</t>
  </si>
  <si>
    <t>10.22618/tp.pcms.20181.156015</t>
  </si>
  <si>
    <t>DIVVIO</t>
  </si>
  <si>
    <t>c1c(ccc(c1)C1=c2ccc3=C(C4=[N]5[Co]6([P@@]78CN9[Gd]%10%11(N(C7)c7c(cccc7)[C](O%11)OC)(N(c7c(cccc7)[C](O%10)OC)C8)O[C](c7c9cccc7)OC)(n7c(C(=C5C=C4)c4ccc(cc4)OC)ccc7C(=C4C=CC1=[N]64)c1ccc(cc1)OC)n23)c1ccc(OC)cc1)OC</t>
  </si>
  <si>
    <t>{"audit_creation_date": "2008-05-01", "audit_creation_method": "CSD-ConQuest-V1", "database_code_CSD": "DIVVIO", "database_code_depnum_ccdc_archive": "CCDC 638603", "chemical_formula_sum": "C89 H79 Co1 Gd1 N7 O10 P1", "chemical_formula_moiety": "", "journal_volume": "14", "journal_year": "2008", "journal_page_first": "721", "journal_name_full": "Chem.-Eur.J. ", "publ_author_name": ["R.Raturi", "J.Lefebvre", "D.B.Leznoff", "B.R.McGarvey", "S.A.Johnson"]}</t>
  </si>
  <si>
    <t>10.1002/chem.200890051</t>
  </si>
  <si>
    <t>DIXXIS</t>
  </si>
  <si>
    <t>[Zn]123(n4c5=C(C6=[N]3C(=C(c3ccc(C(=C7C=CC(=[N]17)C(=c4cc5)c1ccncc1)c1ccc(cc1)I)n23)c1ccc(I)cc1)C=C6)c1ccc(cc1)I)N1[CH]C=CC=C1</t>
  </si>
  <si>
    <t>{"audit_creation_date": "2008-09-09", "audit_creation_method": "CSD-ConQuest-V1", "database_code_CSD": "DIXXIS", "database_code_depnum_ccdc_archive": "CCDC 662254", "chemical_formula_sum": "C51 H36 I3 N7 O1 Zn1", "chemical_formula_moiety": "", "journal_volume": null, "journal_year": "2008", "journal_page_first": "1777", "journal_name_full": "Chem.Commun. ", "publ_author_name": ["S.Muniappan", "S.Lipstman", "I.Goldberg"]}</t>
  </si>
  <si>
    <t>10.1039/b719625c</t>
  </si>
  <si>
    <t xml:space="preserve">Chem.Commun. </t>
  </si>
  <si>
    <t>DOFXOL</t>
  </si>
  <si>
    <t>[Cd]123(n4c5ccc4C(=C4C=CC(=[N]34)C(=c3ccc(=C(C4=[N]1C(=C5c1ccccc1)C=C4)c1ccccc1)n23)c1ccccc1)c1ccccc1)[NH]1CCCCC1</t>
  </si>
  <si>
    <t>{"audit_creation_date": "1987-02-04", "audit_creation_method": "CSD-ConQuest-V1", "database_code_CSD": "DOFXOL", "database_code_depnum_ccdc_archive": null, "chemical_formula_sum": "C57 H49 Cd1 N5", "chemical_formula_moiety": "", "journal_volume": "24", "journal_year": "1985", "journal_page_first": "4595", "journal_name_full": "Inorg.Chem. ", "publ_author_name": ["P.F.Rodesiler", "E.A.H.Griffith", "N.G.Charles", "L.Lebioda", "E.L.Amma"]}</t>
  </si>
  <si>
    <t>10.1021/ic00220a033</t>
  </si>
  <si>
    <t>DOJPAV01</t>
  </si>
  <si>
    <t>c1cccc(C2=C3C=CC4=[N]3[Ni]35(n6c(c(c7ccccc7)c(c7ccccc7)c26)C(=C2C=CC(=[N]32)C(=c2c(N(=O)=O)cc(=C4c3ccccc3)n52)c2ccccc2)c2ccccc2)N2[CH]C=CC=C2)c1</t>
  </si>
  <si>
    <t>{"audit_creation_date": "2014-09-18", "audit_creation_method": "CSD-ConQuest-V1", "database_code_CSD": "DOJPAV01", "database_code_depnum_ccdc_archive": "CCDC 1018319", "chemical_formula_sum": "C61 H40 N6 Ni1 O2", "chemical_formula_moiety": "", "journal_volume": "53", "journal_year": "2014", "journal_page_first": "12706", "journal_name_full": "Inorg.Chem. ", "publ_author_name": ["R.Kumar", "M.Sankar"]}</t>
  </si>
  <si>
    <t>10.1021/ic501259g</t>
  </si>
  <si>
    <t>DOKROM</t>
  </si>
  <si>
    <t>[Ni@]123n4c5=C(c6ccccc6)C6=[N]3C(=C(c3ccccc3)c3c(N(=O)=O)cc(C(=C7C(=C(C(=[N]27)C(=c4c(c5Br)Br)c2ccccc2)Br)Br)c2ccccc2)n13)C(=C6Br)Br</t>
  </si>
  <si>
    <t>{"audit_creation_date": "2014-09-19", "audit_creation_method": "CSD-ConQuest-V1", "database_code_CSD": "DOKROM", "database_code_depnum_ccdc_archive": "CCDC 1019824", "chemical_formula_sum": "C44 H21 Br6 N5 Ni1 O2", "chemical_formula_moiety": "", "journal_volume": null, "journal_year": "2014", "journal_page_first": null, "journal_name_full": "CSD Communication(Private Communication) ", "publ_author_name": ["R.Kumar", "M.Sankar"]}</t>
  </si>
  <si>
    <t>10.1044/gics4.2.63</t>
  </si>
  <si>
    <t>DOWCAT</t>
  </si>
  <si>
    <t>[Ni@]123n4c5=C(C6=[N]1C(=C(c1ccc(C(=C7C=CC(=[N]27)C(=c4cc5)CC(C)C)CC(C)C)n31)CC(C)C)C=C6)CC(C)C</t>
  </si>
  <si>
    <t>{"audit_creation_date": "2000-11-28", "audit_creation_method": "CSD-ConQuest-V1", "database_code_CSD": "DOWCAT", "database_code_depnum_ccdc_archive": "CCDC 117305; CCDC 101152", "chemical_formula_sum": "C36 H44 N4 Ni1", "chemical_formula_moiety": "", "journal_volume": "3", "journal_year": "1999", "journal_page_first": "99", "journal_name_full": "J.Porphyrins Phthalocyanines ", "publ_author_name": ["M.O.Senge", "I.Bischoff", "N.Y.Nelson", "K.M.Smith"]}</t>
  </si>
  <si>
    <t>10.1002/(sici)1099-1409(199902)3:2&lt;99::aid-jpp109&gt;3.3.co;2-y</t>
  </si>
  <si>
    <t>DUQFAY</t>
  </si>
  <si>
    <t>CC(c1cc(C2=C3[N]4=C(C=C3)C(=c3n5[Ni@@]64[N]4=C(C(=c5cc3)[Si](C)(C)C)C=CC4=C(c3n6c2cc3)c2cc(cc(c2)C(C)(C)C)C(C)(C)C)c2cc(cc(c2)C(C)(C)C)C(C)(C)C)cc(C(C)(C)C)c1)(C)C</t>
  </si>
  <si>
    <t>{"audit_creation_date": "2015-07-22", "audit_creation_method": "CSD-ConQuest-V1", "database_code_CSD": "DUQFAY", "database_code_depnum_ccdc_archive": "CCDC 1405665", "chemical_formula_sum": "C65 H80 N4 Ni1 Si1", "chemical_formula_moiety": "", "journal_volume": "100", "journal_year": "2015", "journal_page_first": "43", "journal_name_full": "Polyhedron ", "publ_author_name": ["In-Taek Lim", "Chong-Hyeak Kim", "Ki-Young Choi"]}</t>
  </si>
  <si>
    <t>10.1016/j.poly.2015.07.022</t>
  </si>
  <si>
    <t xml:space="preserve">Polyhedron </t>
  </si>
  <si>
    <t>DUVSOE</t>
  </si>
  <si>
    <t>[Zn@@]123n4c5=C(C6=[N]3C(=Cc3n2c(C=C2C=CC(=[N]12)C=c4cc5)cc3)C=C6)c1ccccc1</t>
  </si>
  <si>
    <t>{"audit_creation_date": "2015-11-19", "audit_creation_method": "CSD-ConQuest-V1", "database_code_CSD": "DUVSOE", "database_code_depnum_ccdc_archive": "CCDC 1414357", "chemical_formula_sum": "C26.33 H17.32 N4 O0.33 Zn1", "chemical_formula_moiety": "", "journal_volume": "72", "journal_year": "2016", "journal_page_first": "105", "journal_name_full": "Tetrahedron ", "publ_author_name": ["M.O.Senge", "K.J.Flanagan", "A.A.Ryan", "C.Ryppa", "M.Donath", "B.Twamley"]}</t>
  </si>
  <si>
    <t>10.1016/j.tet.2015.11.008</t>
  </si>
  <si>
    <t>DUXROF</t>
  </si>
  <si>
    <t>C1(=c2ccc3=C(C4=[N]5C(=C(c6ccccc6)c6ccc7C(=C8[N](=C1C(=C8)C=C(C#N)C#N)[Ni@@]5(n23)n67)c1ccccc1)C=C4)c1ccccc1)c1ccccc1</t>
  </si>
  <si>
    <t>{"audit_creation_date": "2015-11-19", "audit_creation_method": "CSD-ConQuest-V1", "database_code_CSD": "DUXROF", "database_code_depnum_ccdc_archive": "CCDC 1401278", "chemical_formula_sum": "C48 H28 N6 Ni1", "chemical_formula_moiety": "", "journal_volume": "5", "journal_year": "2015", "journal_page_first": "99028", "journal_name_full": "RSC Advances ", "publ_author_name": ["M.K.Chahal", "M.Sankar"]}</t>
  </si>
  <si>
    <t>10.1039/c5ra19847j</t>
  </si>
  <si>
    <t xml:space="preserve">RSC Advances </t>
  </si>
  <si>
    <t>EACWAG</t>
  </si>
  <si>
    <t>[Zn]123(n4c5=C(C6=[N]3C(=C(c3ccc(C(=C7C=CC(=[N]17)C(=c4cc5c1ccccc1)c1ccccc1)c1ccccc1)n23)c1ccccc1)C=C6)c1ccccc1)N1[CH]C=CC=C1</t>
  </si>
  <si>
    <t>{"audit_creation_date": "1994-05-10", "audit_creation_method": "CSD-ConQuest-V1", "database_code_CSD": "EACWAG", "database_code_depnum_ccdc_archive": null, "chemical_formula_sum": "C61 H51 N5 Zn1", "chemical_formula_moiety": "", "journal_volume": "58", "journal_year": "1993", "journal_page_first": "5983", "journal_name_full": "J.Org.Chem. ", "publ_author_name": ["S.G.DiMagno", "V.S.-Y.Lin", "M.J.Therien"]}</t>
  </si>
  <si>
    <t>10.1021/jo00074a027</t>
  </si>
  <si>
    <t xml:space="preserve">J.Org.Chem. </t>
  </si>
  <si>
    <t>EBOMIS</t>
  </si>
  <si>
    <t>[CH]1C=CC=CN1[Zn]123n4c5ccc4C(=C4C=CC(=[N]14)C(=c1ccc(=C(c4ccc(cc4)O)C4=[N]3C(=C5c3ccc(cc3)C(=O)O)C=C4)n21)c1ccc(cc1)C(=O)O)c1ccc(O)cc1</t>
  </si>
  <si>
    <t>{"audit_creation_date": "2004-11-16", "audit_creation_method": "CSD-ConQuest-V1", "database_code_CSD": "EBOMIS", "database_code_depnum_ccdc_archive": "CCDC 238545", "chemical_formula_sum": "C59.7 H42.22 N6.74 O6 Zn1", "chemical_formula_moiety": "", "journal_volume": "6", "journal_year": "2004", "journal_page_first": "215", "journal_name_full": "CrystEngComm ", "publ_author_name": ["M.Vinodu", "I.Goldberg"]}</t>
  </si>
  <si>
    <t>10.1039/b407157c</t>
  </si>
  <si>
    <t xml:space="preserve">CrystEngComm </t>
  </si>
  <si>
    <t>EBOQUH</t>
  </si>
  <si>
    <t>[Fe]123(c4ccc(cc4)F)([N]4=C5C=c6c(c(c(=CC7=[N]2C(=Cc2c(c(c(C=C4C(=C5CC)CC)n32)CC)CC)C(=C7CC)CC)n16)CC)CC)[N][O]</t>
  </si>
  <si>
    <t>{"audit_creation_date": "2001-10-02", "audit_creation_method": "CSD-ConQuest-V1", "database_code_CSD": "EBOQUH", "database_code_depnum_ccdc_archive": "CCDC 167346", "chemical_formula_sum": "C42 H48 F1 Fe1 N5 O1", "chemical_formula_moiety": "", "journal_volume": "123", "journal_year": "2001", "journal_page_first": "6314", "journal_name_full": "J.Am.Chem.Soc. ", "publ_author_name": ["G.B.Richter-Addo", "R.A.Wheeler", "C.A.Hixson", "Li Chen", "M.A.Khan", "M.K.Ellison", "C.E.Schulz", "W.R.Scheidt"]}</t>
  </si>
  <si>
    <t>10.1021/ja010276m</t>
  </si>
  <si>
    <t xml:space="preserve">J.Am.Chem.Soc. </t>
  </si>
  <si>
    <t>EBORES01</t>
  </si>
  <si>
    <t>C(C)C1=C(CC)C2=[N]3[Ru]45(c6ccc(cc6)F)(n6c(=C2)c(c(c6=CC2=[N]4C(=Cc4n5c(c(c4CC)CC)C=C13)C(=C2CC)CC)CC)CC)[N][O]</t>
  </si>
  <si>
    <t>{"audit_creation_date": "2001-10-02", "audit_creation_method": "CSD-ConQuest-V1", "database_code_CSD": "EBORES01", "database_code_depnum_ccdc_archive": "CCDC 167347", "chemical_formula_sum": "C42 H48 F1 N5 O1 Ru1", "chemical_formula_moiety": "", "journal_volume": "123", "journal_year": "2001", "journal_page_first": "6314", "journal_name_full": "J.Am.Chem.Soc. ", "publ_author_name": ["G.B.Richter-Addo", "R.A.Wheeler", "C.A.Hixson", "Li Chen", "M.A.Khan", "M.K.Ellison", "C.E.Schulz", "W.R.Scheidt"]}</t>
  </si>
  <si>
    <t>EBORES</t>
  </si>
  <si>
    <t>C12=Cc3c(c(c4C=C5C(=C(C6=[N]5[Ru]5(c7ccc(cc7)F)(n7c(=CC(=[N]25)C(=C1CC)CC)c(c(c7=C6)CC)CC)(n34)N=O)CC)CC)CC)CC</t>
  </si>
  <si>
    <t>{"audit_creation_date": "2001-10-02", "audit_creation_method": "CSD-ConQuest-V1", "database_code_CSD": "EBORES", "database_code_depnum_ccdc_archive": "CCDC 167348", "chemical_formula_sum": "C42 H48 F1 N5 O1 Ru1", "chemical_formula_moiety": "", "journal_volume": "123", "journal_year": "2001", "journal_page_first": "6314", "journal_name_full": "J.Am.Chem.Soc. ", "publ_author_name": ["G.B.Richter-Addo", "R.A.Wheeler", "C.A.Hixson", "Li Chen", "M.A.Khan", "M.K.Ellison", "C.E.Schulz", "W.R.Scheidt"]}</t>
  </si>
  <si>
    <t>ECUBAH</t>
  </si>
  <si>
    <t>Fc1c(C2=c3n4[Fe]56([N]7=C2C(=C(Cl)C7=C(c2c(c(c(c(c2F)F)F)F)F)c2n5c(c(Cl)c2Cl)C(=C2[N]6=C(C(=C2Cl)Cl)C(=c4c(Cl)c3Cl)c2c(c(c(c(c2F)F)F)F)F)c2c(c(c(c(c2F)F)F)F)F)Cl)(N2[CH]N(C=C2)C)N2[CH]N(C)C=C2)c(F)c(F)c(F)c1F</t>
  </si>
  <si>
    <t>{"audit_creation_date": "2013-04-25", "audit_creation_method": "CSD-ConQuest-V1", "database_code_CSD": "ECUBAH", "database_code_depnum_ccdc_archive": "CCDC 912418", "chemical_formula_sum": "C52 H12 Cl8 F20 Fe1 N8", "chemical_formula_moiety": "", "journal_volume": "51", "journal_year": "2012", "journal_page_first": "11294", "journal_name_full": "Inorg.Chem. ", "publ_author_name": ["R.Patra", "D.Sahoo", "S.Dey", "D.Sil", "S.P.Rath"]}</t>
  </si>
  <si>
    <t>10.1021/ic300229u</t>
  </si>
  <si>
    <t>EDOHAJ</t>
  </si>
  <si>
    <t>[Zn]123(n4c5ccc4C(=C4C=CC(=[N]34)C(=c3ccc(=C(c4ccccc4)C4=[N]1C(=C5c1ccccc1)C=C4)n23)c1ccccc1)c1ccccc1)O[C](C)C</t>
  </si>
  <si>
    <t>{"audit_creation_date": "2017-10-16", "audit_creation_method": "CSD-ConQuest-V1", "database_code_CSD": "EDOHAJ", "database_code_depnum_ccdc_archive": "CCDC 1521213", "chemical_formula_sum": "C47 H34 N4 O1 Zn1", "chemical_formula_moiety": "", "journal_volume": null, "journal_year": "2017", "journal_page_first": null, "journal_name_full": "CSD Communication(Private Communication) ", "publ_author_name": ["V.Andreev", "P.Sobolev", "V.Tafeenko"]}</t>
  </si>
  <si>
    <t>10.17587/prin.8.243-249</t>
  </si>
  <si>
    <t>EDOHIR</t>
  </si>
  <si>
    <t>c1cccc(C2=c3ccc4=C(C5=[N]6[Zn]7(n34)(n3c(C(=C6C=C5)c4ccccc4)ccc3C(=C3C=CC2=[N]73)c2ccccc2)N2[CH]C=CN=C2N)c2ccccc2)c1</t>
  </si>
  <si>
    <t>{"audit_creation_date": "2017-10-16", "audit_creation_method": "CSD-ConQuest-V1", "database_code_CSD": "EDOHIR", "database_code_depnum_ccdc_archive": "CCDC 1521215", "chemical_formula_sum": "C51 H39 N7 O1 Zn1", "chemical_formula_moiety": "", "journal_volume": null, "journal_year": "2017", "journal_page_first": null, "journal_name_full": "CSD Communication(Private Communication) ", "publ_author_name": ["V.Andreev", "P.Sobolev", "V.Tafeenko"]}</t>
  </si>
  <si>
    <t>EKETUJ</t>
  </si>
  <si>
    <t>[Ni@]123n4c5=CC6=[N]3C(=C(c3n2c(C=C2[N]1=C(C(=c4c(C)c5CCCCCC)c1ccccc1)C(=C2CCCCCC)C)c(c3C)CCCCCC)c1ccccc1)C(=C6CCCCCC)C</t>
  </si>
  <si>
    <t>{"audit_creation_date": "2003-11-07", "audit_creation_method": "CSD-ConQuest-V1", "database_code_CSD": "EKETUJ", "database_code_depnum_ccdc_archive": "CCDC 222831", "chemical_formula_sum": "C60 H76 N4 Ni1", "chemical_formula_moiety": "", "journal_volume": "59", "journal_year": "2003", "journal_page_first": "m818", "journal_name_full": "Acta Crystallogr.,Sect.E:Struct.Rep.Online ", "publ_author_name": ["A.D.Bond", "N.Feeder", "J.E.Redman", "S.J.Teat", "J.K.M.Sanders"]}</t>
  </si>
  <si>
    <t>10.1107/s1600536803018853</t>
  </si>
  <si>
    <t>EQUFON</t>
  </si>
  <si>
    <t>c1cc(C2=C3C=CC4=[N]3[Zn]35(n6c(ccc26)C(=C2C=CC(=[N]32)C(=c2ccc(=C4c3c4ccccc4ccc3O)n52)c2ccc(cc2)O)c2c(ccc3ccccc23)O)N2[CH]C=CC=C2)ccc1</t>
  </si>
  <si>
    <t>{"audit_creation_date": "2016-07-28", "audit_creation_method": "CSD-ConQuest-V1", "database_code_CSD": "EQUFON", "database_code_depnum_ccdc_archive": "CCDC 1496561", "chemical_formula_sum": "C67 H47 N7 O3 Zn1", "chemical_formula_moiety": "", "journal_volume": null, "journal_year": "2016", "journal_page_first": null, "journal_name_full": "CSD Communication(Private Communication) ", "publ_author_name": ["liguo yang"]}</t>
  </si>
  <si>
    <t>10.1017/9781316809976.027</t>
  </si>
  <si>
    <t>EREDIO</t>
  </si>
  <si>
    <t>[Ru]123(n4c5=C(C6=[N]1C(=C(c1ccc(C(=C7[N]3=C(C(=c4cc5)c3ccc(C)cc3)C=C7)c3ccc(C)cc3)n21)c1ccc(C)cc1)C=C6)c1ccc(C)cc1)(N(c1cc(C)c(c(c1)C)OC)[O])N(c1cc(C)c(c(C)c1)OC)[O]</t>
  </si>
  <si>
    <t>{"audit_creation_date": "2004-05-06", "audit_creation_method": "CSD-ConQuest-V1", "database_code_CSD": "EREDIO", "database_code_depnum_ccdc_archive": "CCDC 216564", "chemical_formula_sum": "C66 H58 N6 O4 Ru1", "chemical_formula_moiety": "", "journal_volume": null, "journal_year": "2004", "journal_page_first": "189", "journal_name_full": "Dalton Trans. ", "publ_author_name": ["Jonghyuk Lee", "B.Twamley", "G.B.Richter-Addo"]}</t>
  </si>
  <si>
    <t>10.1039/b315051h</t>
  </si>
  <si>
    <t>EREDUA</t>
  </si>
  <si>
    <t>[Ru]123([N]4=C5C(=c6ccc(=C(C7=[N]2C(=C(c2ccc(C(=C4C=C5)c4ccc(C)cc4)n32)c2ccc(C)cc2)C=C7)c2ccc(C)cc2)n16)c1ccc(C)cc1)(N(c1ccccc1)[O])N1[CH]C=CC=C1</t>
  </si>
  <si>
    <t>{"audit_creation_date": "2004-05-06", "audit_creation_method": "CSD-ConQuest-V1", "database_code_CSD": "EREDUA", "database_code_depnum_ccdc_archive": "CCDC 216560", "chemical_formula_sum": "C59 H46 N6 O1 Ru1", "chemical_formula_moiety": "", "journal_volume": null, "journal_year": "2004", "journal_page_first": "189", "journal_name_full": "Dalton Trans. ", "publ_author_name": ["Jonghyuk Lee", "B.Twamley", "G.B.Richter-Addo"]}</t>
  </si>
  <si>
    <t>EREFAI</t>
  </si>
  <si>
    <t>c1cc2C(=C3C=CC4=[N]3[Ru]35(n6c(=C(C7=[N]3C(=C(c1n25)c1ccccc1)C=C7)c1ccccc1)ccc6=C4c1ccccc1)(N1C=CN(C)[CH]1)N(c1ccccc1C)[O])c1ccccc1</t>
  </si>
  <si>
    <t>{"audit_creation_date": "2004-05-06", "audit_creation_method": "CSD-ConQuest-V1", "database_code_CSD": "EREFAI", "database_code_depnum_ccdc_archive": "CCDC 216565", "chemical_formula_sum": "C72.5 H61 N7 O1 Ru1", "chemical_formula_moiety": "", "journal_volume": null, "journal_year": "2004", "journal_page_first": "189", "journal_name_full": "Dalton Trans. ", "publ_author_name": ["Jonghyuk Lee", "B.Twamley", "G.B.Richter-Addo"]}</t>
  </si>
  <si>
    <t>ETISEI</t>
  </si>
  <si>
    <t>c1cc(C2=C3[N]4=C(C(=c5n6[Zn]74(n4c2ccc4C(=C2C=CC(=[N]72)C(=c6cc5)c2ccc(N(c4ccc(cc4)OC)c4ccc(cc4)OC)cc2)c2ccc(N(c4ccc(cc4)OC)c4ccc(OC)cc4)cc2)[O])c2ccc(N(c4ccc(OC)cc4)c4ccc(OC)cc4)cc2)C=C3)ccc1N(c1ccc(OC)cc1)c1ccc(OC)cc1</t>
  </si>
  <si>
    <t>{"audit_creation_date": "2021-05-25", "audit_creation_method": "CSD-ConQuest-V1", "database_code_CSD": "ETISEI", "database_code_depnum_ccdc_archive": "CCDC 2038530", "chemical_formula_sum": "C107 H90 N8 O9 Zn1", "chemical_formula_moiety": "", "journal_volume": "193", "journal_year": "2021", "journal_page_first": "109469", "journal_name_full": "Dyes Pigm. ", "publ_author_name": ["Ting Sun", "Zilong Zhang", "Jianbin Xu", "Lusheng Liang", "Chi-Lun Mai", "Lu Ren", "Qin Zhou", "Yaming Yu", "Bao Zhang", "Peng Gao"]}</t>
  </si>
  <si>
    <t>10.1016/j.dyepig.2021.109469</t>
  </si>
  <si>
    <t xml:space="preserve">Dyes Pigm. </t>
  </si>
  <si>
    <t>ETISIM</t>
  </si>
  <si>
    <t>c12=C(C3=[N]4[Mn]56(n2c(=C(c2ccc(cc2)N(c2ccc(cc2)OC)c2ccc(OC)cc2)C2=[N]5C(=C(c5ccc(N(c7ccc(cc7)OC)c7ccc(cc7)OC)cc5)c5n6c(cc5)C(=C4C=C3)c3ccc(cc3)N(c3ccc(OC)cc3)c3ccc(cc3)OC)C=C2)cc1)Cl)c1ccc(N(c2ccc(cc2)OC)c2ccc(cc2)OC)cc1</t>
  </si>
  <si>
    <t>{"audit_creation_date": "2021-05-25", "audit_creation_method": "CSD-ConQuest-V1", "database_code_CSD": "ETISIM", "database_code_depnum_ccdc_archive": "CCDC 2038532", "chemical_formula_sum": "C100 H80 Cl1 Mn1 N8 O8", "chemical_formula_moiety": "", "journal_volume": "193", "journal_year": "2021", "journal_page_first": "109469", "journal_name_full": "Dyes Pigm. ", "publ_author_name": ["Ting Sun", "Zilong Zhang", "Jianbin Xu", "Lusheng Liang", "Chi-Lun Mai", "Lu Ren", "Qin Zhou", "Yaming Yu", "Bao Zhang", "Peng Gao"]}</t>
  </si>
  <si>
    <t>ETUKOW</t>
  </si>
  <si>
    <t>c1ccc(C(=O)Nc2ccccc2C2=c3ccc4=C(C5=[N]6C(=C(c7ccc8C(=C9C=CC2=[N]9[Fe]6(n34)(n78)(N2C=CN([CH]2)C)N2[CH]N(C=C2)C)c2ccccc2NC(=O)c2cnccc2)c2ccccc2NC(=O)c2cccnc2)C=C5)c2ccccc2NC(=O)c2cnccc2)cn1</t>
  </si>
  <si>
    <t>{"audit_creation_date": "2021-05-25", "audit_creation_method": "CSD-ConQuest-V1", "database_code_CSD": "ETUKOW", "database_code_depnum_ccdc_archive": "CCDC 2068473", "chemical_formula_sum": "C86 H74 Fe1 N18 O5.5", "chemical_formula_moiety": "", "journal_volume": "6", "journal_year": "2021", "journal_page_first": null, "journal_name_full": "IUCrData ", "publ_author_name": ["Y.Fan", "J.Li"]}</t>
  </si>
  <si>
    <t>10.1107/s2414314621009883</t>
  </si>
  <si>
    <t xml:space="preserve">IUCrData </t>
  </si>
  <si>
    <t>EWURUL</t>
  </si>
  <si>
    <t>[Fe]123([N]4=C5C(=C(C4=C(c4c(c(c(n24)C(=C2C(=C(C(=[N]32)C(=c2c(c(c(=C5c3c(c(c(c(c3F)F)F)F)F)n12)Br)Br)c1c(c(c(c(c1F)F)F)F)F)Br)Br)c1c(c(c(F)c(F)c1F)F)F)Br)Br)c1c(F)c(c(c(c1F)F)F)F)Br)Br)(N1[CH]N(C=C1)C)N1[CH]N(C=C1)C</t>
  </si>
  <si>
    <t>{"audit_creation_date": "2016-10-04", "audit_creation_method": "CSD-ConQuest-V1", "database_code_CSD": "EWURUL", "database_code_depnum_ccdc_archive": "CCDC 1508060", "chemical_formula_sum": "C52 H12 Br8 F20 Fe1 N8", "chemical_formula_moiety": "", "journal_volume": "55", "journal_year": "2016", "journal_page_first": "9632", "journal_name_full": "Inorg.Chem. ", "publ_author_name": ["Bin Hu", "MingruiHe", "Zhen Yao", "C.E.Schulz", "JianfengLi"]}</t>
  </si>
  <si>
    <t>10.1021/acs.inorgchem.6b01364</t>
  </si>
  <si>
    <t>EWUSAS</t>
  </si>
  <si>
    <t>C(N1C=CN([CH]1)[Fe]123([N]4=C5C(=C(C4=C(c4c(Br)c(c(C(=C6C(=C(C(=[N]26)C(=c2c(c(c(=C5c5c(c(c(c(c5F)F)F)F)F)n32)Br)Br)c2c(c(c(c(c2F)F)F)F)F)Br)Br)c2c(F)c(F)c(F)c(c2F)F)n14)Br)c1c(c(c(c(c1F)F)F)F)F)Br)Br)N1[CH]N(C=C1)CC)C</t>
  </si>
  <si>
    <t>{"audit_creation_date": "2016-10-04", "audit_creation_method": "CSD-ConQuest-V1", "database_code_CSD": "EWUSAS", "database_code_depnum_ccdc_archive": "CCDC 1508061", "chemical_formula_sum": "C54 H16 Br8 F20 Fe1 N8", "chemical_formula_moiety": "", "journal_volume": "55", "journal_year": "2016", "journal_page_first": "9632", "journal_name_full": "Inorg.Chem. ", "publ_author_name": ["Bin Hu", "MingruiHe", "Zhen Yao", "C.E.Schulz", "JianfengLi"]}</t>
  </si>
  <si>
    <t>FAMTAS</t>
  </si>
  <si>
    <t>Cc1ccc(C2=c3ccc4=C(C5=[N]6[Rh]7(Cc8cc(cc(c8)C)C)([N]8=C2C=CC8=C(c2ccc(C(=C6C=C5)c5ccc(C)cc5)n72)c2ccc(cc2)C)n34)c2ccc(cc2)C)cc1</t>
  </si>
  <si>
    <t>{"audit_creation_date": "2022-01-10", "audit_creation_method": "CSD-ConQuest-V1", "database_code_CSD": "FAMTAS", "database_code_depnum_ccdc_archive": "CCDC 923672", "chemical_formula_sum": "C57 H47 N4 Rh1", "chemical_formula_moiety": "", "journal_volume": "60", "journal_year": "2013", "journal_page_first": "779", "journal_name_full": "J.Chin.Chem.Soc.(Taipei) ", "publ_author_name": ["Kwong Shing Choi", "Peng Fai Chiu", "Chung Sum Chan", "Kin Shing Chan"]}</t>
  </si>
  <si>
    <t>10.1002/jccs.201200635</t>
  </si>
  <si>
    <t xml:space="preserve">J.Chin.Chem.Soc.(Taipei) </t>
  </si>
  <si>
    <t>FAMTEW</t>
  </si>
  <si>
    <t>[Rh]123(Cc4ccccc4C)[N]4=C5C=CC4=C(c4ccc(C(=C6C=CC(=[N]26)C(=c2ccc(=C5c5ccc(cc5)C)n12)c1ccc(cc1)C)c1ccc(cc1)C)n34)c1ccc(cc1)C</t>
  </si>
  <si>
    <t>{"audit_creation_date": "2022-01-10", "audit_creation_method": "CSD-ConQuest-V1", "database_code_CSD": "FAMTEW", "database_code_depnum_ccdc_archive": "CCDC 923671", "chemical_formula_sum": "C56.5 H45.5 Cl1.5 N4 Rh1", "chemical_formula_moiety": "", "journal_volume": "60", "journal_year": "2013", "journal_page_first": "779", "journal_name_full": "J.Chin.Chem.Soc.(Taipei) ", "publ_author_name": ["Kwong Shing Choi", "Peng Fai Chiu", "Chung Sum Chan", "Kin Shing Chan"]}</t>
  </si>
  <si>
    <t>FAMTIA</t>
  </si>
  <si>
    <t>C1(=c2n3[Rh]45(Cc6c(cccc6)C#N)[N]6=C(C(=c3cc2)c2ccc(cc2)C)C=CC6=C(c2ccc(cc2)C)c2n4c(cc2)C(=C2[N]5=C1C=C2)c1ccc(cc1)C)c1ccc(cc1)C</t>
  </si>
  <si>
    <t>{"audit_creation_date": "2022-01-10", "audit_creation_method": "CSD-ConQuest-V1", "database_code_CSD": "FAMTIA", "database_code_depnum_ccdc_archive": "CCDC 923670", "chemical_formula_sum": "C57 H44 Cl2 N5 Rh1", "chemical_formula_moiety": "", "journal_volume": "60", "journal_year": "2013", "journal_page_first": "779", "journal_name_full": "J.Chin.Chem.Soc.(Taipei) ", "publ_author_name": ["Kwong Shing Choi", "Peng Fai Chiu", "Chung Sum Chan", "Kin Shing Chan"]}</t>
  </si>
  <si>
    <t>FAPCAC</t>
  </si>
  <si>
    <t>[Zn@]123n4c5=C(C6=[N]1C(=C(c1n2c(cc1)C(=C1[N]3=C(C=c4cc5)C=C1)c1ccc(cc1)C)c1ccccc1)C=C6)c1ccc(cc1)C</t>
  </si>
  <si>
    <t>{"audit_creation_date": "2012-03-05", "audit_creation_method": "CSD-ConQuest-V1", "database_code_CSD": "FAPCAC", "database_code_depnum_ccdc_archive": "CCDC 837061", "chemical_formula_sum": "C40 H28 N4 Zn1", "chemical_formula_moiety": "", "journal_volume": "41", "journal_year": "2012", "journal_page_first": "929", "journal_name_full": "Dalton Trans. ", "publ_author_name": ["A.K.D.Dime", "C.H.Devillers", "H.Cattey", "B.Habermeyer", "D.Lucas"]}</t>
  </si>
  <si>
    <t>10.1039/c1dt11330e</t>
  </si>
  <si>
    <t>FARJIU</t>
  </si>
  <si>
    <t>O=CC1=C2[N]3=C(C(=c4ccc5=C(C6=[N]7[Pd@]3(n45)n3c(C(=C7C=C6)c4ccc(cc4)C)ccc13)c1ccc(cc1)C)c1ccc(cc1)C)C=C2</t>
  </si>
  <si>
    <t>{"audit_creation_date": "2017-02-23", "audit_creation_method": "CSD-ConQuest-V1", "database_code_CSD": "FARJIU", "database_code_depnum_ccdc_archive": "CCDC 1403207", "chemical_formula_sum": "C42 H34 N4 O3 Pd1", "chemical_formula_moiety": "", "journal_volume": "19", "journal_year": "2015", "journal_page_first": "1021", "journal_name_full": "J.Porphyrins Phthalocyanines ", "publ_author_name": ["S.A.Berhe", "Z.B.Molinets", "M.N.Frodeman", "B.Miller", "V.N.Nesterov", "K.M.Haynes", "C.M.Perry", "M.T.Rodriguez", "R.N.McDougald Junior", "W.Justin Youngblood"]}</t>
  </si>
  <si>
    <t>10.1142/s1088424615500741</t>
  </si>
  <si>
    <t>FATRAW</t>
  </si>
  <si>
    <t>[Mn]123(n4c5ccc4C(=C4C=CC(=[N]34)C(=c3ccc(=C(C4=[N]2C(=C5c2ccc(cc2)C)C=C4)c2ccc(cc2)C)n13)c1ccc(cc1)C)c1ccc(cc1)C)Cl</t>
  </si>
  <si>
    <t>{"audit_creation_date": "2017-02-23", "audit_creation_method": "CSD-ConQuest-V1", "database_code_CSD": "FATRAW", "database_code_depnum_ccdc_archive": "CCDC 980778", "chemical_formula_sum": "C49 H38 Cl2 Mn1 N4", "chemical_formula_moiety": "", "journal_volume": "20", "journal_year": "2016", "journal_page_first": "833", "journal_name_full": "J.Porphyrins Phthalocyanines ", "publ_author_name": ["R.Soman", "S.Sujatha", "C.Arunkuma"]}</t>
  </si>
  <si>
    <t>10.1142/s1088424616501017</t>
  </si>
  <si>
    <t>FAVGUE</t>
  </si>
  <si>
    <t>C12=Cc3c(c(c4C=C5C(=C(C6=[N]5[Fe]5([N]2=C(C(=C1CC)CC)C=c1c(c(c(=C6)n51)CC)CC)(n34)(N(c1ccccc1)[O])N1[CH]N(C=C1)C)CC)CC)CC)CC</t>
  </si>
  <si>
    <t>{"audit_creation_date": "1999-07-19", "audit_creation_method": "CSD-ConQuest-V1", "database_code_CSD": "FAVGUE", "database_code_depnum_ccdc_archive": "CCDC 103038", "chemical_formula_sum": "C46 H55 Fe1 N7 O1", "chemical_formula_moiety": "", "journal_volume": "121", "journal_year": "1999", "journal_page_first": "3829", "journal_name_full": "J.Am.Chem.Soc. ", "publ_author_name": ["N.Godbout", "L.K.Sanders", "R.Salzmann", "R.H.Havlin", "M.Wojdelski", "E.Oldfield"]}</t>
  </si>
  <si>
    <t>10.1021/ja9832820</t>
  </si>
  <si>
    <t>FEMQIX</t>
  </si>
  <si>
    <t>[Fe]123([C][O])(n4c5=C(C6=[N]3C(=C(c3ccc(C(=C7C=CC(=[N]17)C(=c4cc5)c1ccccc1)c1ccccc1)n23)c1ccccc1)C=C6)c1ccccc1)N1[CH]N(C=C1)C</t>
  </si>
  <si>
    <t>{"audit_creation_date": "1999-07-29", "audit_creation_method": "CSD-ConQuest-V1", "database_code_CSD": "FEMQIX", "database_code_depnum_ccdc_archive": "CCDC 1154503", "chemical_formula_sum": "C56 H42 Fe1 N6 O1", "chemical_formula_moiety": "", "journal_volume": "120", "journal_year": "1998", "journal_page_first": "11323", "journal_name_full": "J.Am.Chem.Soc. ", "publ_author_name": ["R.Salzmann", "C.J.Ziegler", "N.Godbout", "M.T.McMahon", "K.S.Suslick", "E.Oldfield"]}</t>
  </si>
  <si>
    <t>10.1021/ja9740069</t>
  </si>
  <si>
    <t>FEMQOD</t>
  </si>
  <si>
    <t>[C]([O])[Ru]123(n4c5=C(C6=[N]3C(=C(c3ccccc3)c3n2c(C(=C2[N]1=C(C(=c4cc5)c1ccccc1)C=C2)c1ccccc1)cc3)C=C6)c1ccccc1)N1[CH]N(C=C1)C</t>
  </si>
  <si>
    <t>{"audit_creation_date": "1999-07-29", "audit_creation_method": "CSD-ConQuest-V1", "database_code_CSD": "FEMQOD", "database_code_depnum_ccdc_archive": null, "chemical_formula_sum": "C50 H35 Cl3 N6 O1 Ru1", "chemical_formula_moiety": "", "journal_volume": "120", "journal_year": "1998", "journal_page_first": "11323", "journal_name_full": "J.Am.Chem.Soc. ", "publ_author_name": ["R.Salzmann", "C.J.Ziegler", "N.Godbout", "M.T.McMahon", "K.S.Suslick", "E.Oldfield"]}</t>
  </si>
  <si>
    <t>FEMQUJ</t>
  </si>
  <si>
    <t>[C]([O])[Os]123(n4c5=C(C6=[N]3C(=C(c3ccccc3)c3n2c(C(=C2[N]1=C(C(=c4cc5)c1ccccc1)C=C2)c1ccccc1)cc3)C=C6)c1ccccc1)N1[CH]N(C=C1)C</t>
  </si>
  <si>
    <t>{"audit_creation_date": "1999-07-29", "audit_creation_method": "CSD-ConQuest-V1", "database_code_CSD": "FEMQUJ", "database_code_depnum_ccdc_archive": null, "chemical_formula_sum": "C50 H35 Cl3 N6 O1 Os1", "chemical_formula_moiety": "", "journal_volume": "120", "journal_year": "1998", "journal_page_first": "11323", "journal_name_full": "J.Am.Chem.Soc. ", "publ_author_name": ["R.Salzmann", "C.J.Ziegler", "N.Godbout", "M.T.McMahon", "K.S.Suslick", "E.Oldfield"]}</t>
  </si>
  <si>
    <t>FERWIK</t>
  </si>
  <si>
    <t>C(=O)(C(F)(F)F)O[Fe]123([N][O])[N]4=C5C=CC4=C(c4n1c(C(=C1C=CC(=[N]21)C(=c1ccc(=C5c2ccccc2)n31)c1ccccc1)c1ccccc1)cc4)c1ccccc1</t>
  </si>
  <si>
    <t>{"audit_creation_date": "2013-05-19", "audit_creation_method": "CSD-ConQuest-V1", "database_code_CSD": "FERWIK", "database_code_depnum_ccdc_archive": "CCDC 904063", "chemical_formula_sum": "C52 H40 F3 Fe1 N5 O3", "chemical_formula_moiety": "", "journal_volume": "52", "journal_year": "2013", "journal_page_first": "3896", "journal_name_full": "Angew.Chem.,Int.Ed. ", "publ_author_name": ["Nan Xu", "L.E.Goodrich", "N.Lehnert", "D.R.Powell", "G.B.Richter-Addo"]}</t>
  </si>
  <si>
    <t>10.1002/anie.201390054</t>
  </si>
  <si>
    <t>FIGVUM</t>
  </si>
  <si>
    <t>[P]([Rh]123([N]4=C5C(=C(C4=Cc4n3c(C=C3[N]2=C(C=c2c(c(c(=C5)n12)CC)CC)C(=C3CC)CC)c(c4CC)CC)CC)CC)Cl)(c1ccccc1)(c1ccccc1)c1ccccc1</t>
  </si>
  <si>
    <t>{"audit_creation_date": "1988-01-14", "audit_creation_method": "CSD-ConQuest-V1", "database_code_CSD": "FIGVUM", "database_code_depnum_ccdc_archive": "CCDC 1156138", "chemical_formula_sum": "C56 H61 Cl7 N4 P1 Rh1", "chemical_formula_moiety": "", "journal_volume": "64", "journal_year": "1986", "journal_page_first": "2440", "journal_name_full": "Can.J.Chem. ", "publ_author_name": ["D.C.Thackray", "S.Ariel", "T.W.Leung", "K.Menon", "B.R.James", "J.Trotter"]}</t>
  </si>
  <si>
    <t>10.1139/v86-404</t>
  </si>
  <si>
    <t xml:space="preserve">Can.J.Chem. </t>
  </si>
  <si>
    <t>FOGGEP</t>
  </si>
  <si>
    <t>C(C(C)C)C1=C2C=CC3=[N]2[Ni@@]24n5c(=C(C6=[N]4C(=Cc4ccc1n24)C=C6)CC(C)C)ccc5=C3CCCC</t>
  </si>
  <si>
    <t>{"audit_creation_date": "2014-06-06", "audit_creation_method": "CSD-ConQuest-V1", "database_code_CSD": "FOGGEP", "database_code_depnum_ccdc_archive": "CCDC 1006411", "chemical_formula_sum": "C32 H36 N4 Ni1", "chemical_formula_moiety": "", "journal_volume": "70", "journal_year": "2014", "journal_page_first": "m251", "journal_name_full": "Acta Crystallogr.,Sect.E:Struct.Rep.Online ", "publ_author_name": ["M.O.Senge", "K.Dahms"]}</t>
  </si>
  <si>
    <t>10.1107/s1600536814012884</t>
  </si>
  <si>
    <t>FOHYIL</t>
  </si>
  <si>
    <t>c1ccccc1[P]([IrH]1([P](c2ccccc2)(c2ccccc2)c2ccccc2)(N2[CH]C=CC=C2c2ccc(cc12)C1=C2C=CC3=[N]2[Ni@]24n5c1ccc5C(=C1[N]2=C(C(=c2ccc(=C3c3ccccc3)n42)c2ccccc2)C=C1)c1ccccc1)Cl)(c1ccccc1)c1ccccc1</t>
  </si>
  <si>
    <t>{"audit_creation_date": "2005-06-30", "audit_creation_method": "CSD-ConQuest-V1", "database_code_CSD": "FOHYIL", "database_code_depnum_ccdc_archive": "CCDC 213143", "chemical_formula_sum": "C91 H75 Cl1 Ir1 N5 Ni1 P2", "chemical_formula_moiety": "", "journal_volume": "690", "journal_year": "2005", "journal_page_first": "253", "journal_name_full": "J.Organomet.Chem. ", "publ_author_name": ["Ka-Man Cheung", "Qian-Feng Zhang", "Wing-Leung Mak", "H.H.Y.Sung", "I.D.Williams", "Wa-Hung Leung"]}</t>
  </si>
  <si>
    <t>10.1016/j.jorganchem.2004.09.018</t>
  </si>
  <si>
    <t>FOKDER</t>
  </si>
  <si>
    <t>P(=O)(OCC)(OCC)C1=C2C=CC3=[N]2[Pd@]24n5c(=CC6=[N]4C(=C(c4ccc1n24)c1ccc(C(=O)OC)cc1)C=C6)ccc5=C3c1ccc(C(=O)OC)cc1</t>
  </si>
  <si>
    <t>{"audit_creation_date": "2019-05-29", "audit_creation_method": "CSD-ConQuest-V1", "database_code_CSD": "FOKDER", "database_code_depnum_ccdc_archive": "CCDC 1904436", "chemical_formula_sum": "C41 H34 Cl3 N4 O7 P1 Pd1", "chemical_formula_moiety": "", "journal_volume": "48", "journal_year": "2019", "journal_page_first": "8882", "journal_name_full": "Dalton Trans. ", "publ_author_name": ["M.V.Volostnykh", "S.M.Borisov", "M.A.Konovalov", "A.A.Sinelshchikova", "Y.G.Gorbunova", "A.Yu.Tsivadze", "M.Meyer", "C.Stern", "A.Bessmertnykh-Lemeune"]}</t>
  </si>
  <si>
    <t>10.1039/c9dt01577a</t>
  </si>
  <si>
    <t>FOKDIV</t>
  </si>
  <si>
    <t>P(=O)(C1=c2ccc3=C(C4=[N]5[Pt@]6([N]7=C1C=CC7=C(c1ccc(cc1)C(=O)OC)c1ccc(n61)C=C5C=C4)n23)c1ccc(C(=O)OC)cc1)(OCC)OCC</t>
  </si>
  <si>
    <t>{"audit_creation_date": "2019-05-29", "audit_creation_method": "CSD-ConQuest-V1", "database_code_CSD": "FOKDIV", "database_code_depnum_ccdc_archive": "CCDC 1904437", "chemical_formula_sum": "C41 H34 Cl3 N4 O7 P1 Pt1", "chemical_formula_moiety": "", "journal_volume": "48", "journal_year": "2019", "journal_page_first": "8882", "journal_name_full": "Dalton Trans. ", "publ_author_name": ["M.V.Volostnykh", "S.M.Borisov", "M.A.Konovalov", "A.A.Sinelshchikova", "Y.G.Gorbunova", "A.Yu.Tsivadze", "M.Meyer", "C.Stern", "A.Bessmertnykh-Lemeune"]}</t>
  </si>
  <si>
    <t>FOKDOB</t>
  </si>
  <si>
    <t>P(=O)(C1=c2ccc3=C(c4ccc(C)cc4)C4=[N]5[Pd@]6([N]7=C1C=CC7=C(c1ccc(cc1)C)c1ccc(C=C5C=C4)n61)n23)(OCC)OCC</t>
  </si>
  <si>
    <t>{"audit_creation_date": "2019-05-29", "audit_creation_method": "CSD-ConQuest-V1", "database_code_CSD": "FOKDOB", "database_code_depnum_ccdc_archive": "CCDC 1904438", "chemical_formula_sum": "C39 H35 Cl2 N4 O3 P1 Pd1", "chemical_formula_moiety": "", "journal_volume": "48", "journal_year": "2019", "journal_page_first": "8882", "journal_name_full": "Dalton Trans. ", "publ_author_name": ["M.V.Volostnykh", "S.M.Borisov", "M.A.Konovalov", "A.A.Sinelshchikova", "Y.G.Gorbunova", "A.Yu.Tsivadze", "M.Meyer", "C.Stern", "A.Bessmertnykh-Lemeune"]}</t>
  </si>
  <si>
    <t>FOVTOC</t>
  </si>
  <si>
    <t>[Mn]123([N]4=C5C=c6c(CC)c(c(=CC7=[N]2C(=Cc2n1c(C=C4C(=C5CC)CC)c(c2CC)CC)C(=C7CC)CC)n36)CC)Cl</t>
  </si>
  <si>
    <t>{"audit_creation_date": "2019-09-21", "audit_creation_method": "CSD-ConQuest-V1", "database_code_CSD": "FOVTOC", "database_code_depnum_ccdc_archive": "CCDC 1955053", "chemical_formula_sum": "C38 H48 Cl5 Mn1 N4", "chemical_formula_moiety": "", "journal_volume": null, "journal_year": "2019", "journal_page_first": null, "journal_name_full": "CSD Communication(Private Communication) ", "publ_author_name": ["W.Robert Scheidt", "Beisong Cheng"]}</t>
  </si>
  <si>
    <t>10.1093/obo/9780199756841-0236</t>
  </si>
  <si>
    <t>FUGCIW</t>
  </si>
  <si>
    <t>c1(ccc(cc1)C)C1=c2ccc3=C(C4=[N]5[Fe]6([C]7[C@H]8C[C@@H]9C[C@@H](C[C@H]7C9)C8)(n23)[N]2=C1C=CC2=C(c1ccc(C(=C5C=C4)c2ccc(cc2)C)n61)c1ccc(cc1)C)c1ccc(cc1)C</t>
  </si>
  <si>
    <t>{"audit_creation_date": "2020-01-27", "audit_creation_method": "CSD-ConQuest-V1", "database_code_CSD": "FUGCIW", "database_code_depnum_ccdc_archive": "CCDC 1854830", "chemical_formula_sum": "C59 H50 D1 Cl3 Fe1 N4", "chemical_formula_moiety": "", "journal_volume": "11", "journal_year": "2020", "journal_page_first": "2243", "journal_name_full": "Chemical Science ", "publ_author_name": ["Hai-Xu Wang", "Qingyun Wan", "Kam-Hung Low", "Cong-Ying Zhou", "Jie-Sheng Huang", "Jun-Long Zhang", "Chi-Ming Che"]}</t>
  </si>
  <si>
    <t>10.1039/c9sc05432d</t>
  </si>
  <si>
    <t xml:space="preserve">Chemical Science </t>
  </si>
  <si>
    <t>GECGEA</t>
  </si>
  <si>
    <t>C(C)c1c2n3[Ru]45([S@@](CCCCCCCCCC)C)([S@](CCCCCCCCCC)C)n6c(=CC7=[N]5C(=Cc3c1CC)C(=C7CC)CC)c(c(c6=CC1=[N]4C(=C2)C(=C1CC)CC)CC)CC</t>
  </si>
  <si>
    <t>{"audit_creation_date": "1989-02-16", "audit_creation_method": "CSD-ConQuest-V1", "database_code_CSD": "GECGEA", "database_code_depnum_ccdc_archive": "CCDC 1164974", "chemical_formula_sum": "C58 H92 N4 Ru1 S2", "chemical_formula_moiety": "", "journal_volume": "27", "journal_year": "1988", "journal_page_first": "2414", "journal_name_full": "Inorg.Chem. ", "publ_author_name": ["B.R.James", "A.Pacheco", "S.J.Rettig", "J.A.Ibers"]}</t>
  </si>
  <si>
    <t>10.1021/ic00287a011</t>
  </si>
  <si>
    <t>GEQBOT</t>
  </si>
  <si>
    <t>C(C)c1c2C=C3C(=C(C4=[N]3[Rh]35(n2c(c1CC)C=C1[N]3=C(C=c2c(c(c(=C4)n52)CC)CC)C(=C1CC)CC)c1cccc(c1)C#N)CC)CC</t>
  </si>
  <si>
    <t>{"audit_creation_date": "1999-04-16", "audit_creation_method": "CSD-ConQuest-V1", "database_code_CSD": "GEQBOT", "database_code_depnum_ccdc_archive": null, "chemical_formula_sum": "C43 H48 N5 Rh1", "chemical_formula_moiety": "", "journal_volume": "270", "journal_year": "1998", "journal_page_first": "551", "journal_name_full": "Inorg.Chim.Acta ", "publ_author_name": ["Xiang Zhou", "Qi Li", "T.C.W.Mak", "Kin Shing Chan"]}</t>
  </si>
  <si>
    <t>10.1016/s0020-1693(97)05825-8</t>
  </si>
  <si>
    <t>GISHIZ</t>
  </si>
  <si>
    <t>C1(=c2ccc3=C(C4=[N]5[Mn]6([N]7=C1C=CC7=C(c1n6c(cc1)C(=C5C=C4)c1ccccc1)c1ccccc1)(N=C=O)n23)c1ccccc1)c1ccccc1</t>
  </si>
  <si>
    <t>{"audit_creation_date": "1999-04-25", "audit_creation_method": "CSD-ConQuest-V1", "database_code_CSD": "GISHIZ", "database_code_depnum_ccdc_archive": "CCDC 1168697", "chemical_formula_sum": "C45 H28 Mn1 N5 O1", "chemical_formula_moiety": "", "journal_volume": "51", "journal_year": "1998", "journal_page_first": "835", "journal_name_full": "Aust.J.Chem. ", "publ_author_name": ["P.Turner", "M.J.Gunter", "B.W.Skelton", "A.H.White"]}</t>
  </si>
  <si>
    <t>10.1071/c97150</t>
  </si>
  <si>
    <t xml:space="preserve">Aust.J.Chem. </t>
  </si>
  <si>
    <t>GISHUL</t>
  </si>
  <si>
    <t>[Mn]123([N]4=C5C=CC4=C(c4ccc(C(=C6C=CC(=[N]26)C(=c2ccc(=C5c5ccccc5)n32)c2ccccc2)c2ccccc2)n14)c1ccccc1)I</t>
  </si>
  <si>
    <t>{"audit_creation_date": "1999-04-26", "audit_creation_method": "CSD-ConQuest-V1", "database_code_CSD": "GISHUL", "database_code_depnum_ccdc_archive": null, "chemical_formula_sum": "C51 H36 I1 Mn1 N4", "chemical_formula_moiety": "", "journal_volume": "51", "journal_year": "1998", "journal_page_first": "835", "journal_name_full": "Aust.J.Chem. ", "publ_author_name": ["P.Turner", "M.J.Gunter", "B.W.Skelton", "A.H.White"]}</t>
  </si>
  <si>
    <t>GISJAT</t>
  </si>
  <si>
    <t>n12c3=C(c4ccccc4)C4=[N]5[Mn]61([N]1=C(C(=c2cc3)c2ccccc2)C=CC1=C(c1ccccc1)c1n6c(cc1)C(=C5C=C4)c1ccccc1)OC(=O)C</t>
  </si>
  <si>
    <t>{"audit_creation_date": "1999-04-26", "audit_creation_method": "CSD-ConQuest-V1", "database_code_CSD": "GISJAT", "database_code_depnum_ccdc_archive": "CCDC 1168700", "chemical_formula_sum": "C49.5 H35 Mn1 N4 O2", "chemical_formula_moiety": "", "journal_volume": "51", "journal_year": "1998", "journal_page_first": "835", "journal_name_full": "Aust.J.Chem. ", "publ_author_name": ["P.Turner", "M.J.Gunter", "B.W.Skelton", "A.H.White"]}</t>
  </si>
  <si>
    <t>GISJEX</t>
  </si>
  <si>
    <t>c12=C(C3=[N]4C(=C(c5ccc6C(=C7C=CC8=[N]7[Mn]4(n2c(=C8c2ccccc2)cc1)(n56)N=C=S)c1ccccc1)c1ccccc1)C=C3)c1ccccc1</t>
  </si>
  <si>
    <t>{"audit_creation_date": "1999-04-26", "audit_creation_method": "CSD-ConQuest-V1", "database_code_CSD": "GISJEX", "database_code_depnum_ccdc_archive": "CCDC 1168701", "chemical_formula_sum": "C48.5 H32 Mn1 N5 S1", "chemical_formula_moiety": "", "journal_volume": "51", "journal_year": "1998", "journal_page_first": "835", "journal_name_full": "Aust.J.Chem. ", "publ_author_name": ["P.Turner", "M.J.Gunter", "B.W.Skelton", "A.H.White"]}</t>
  </si>
  <si>
    <t>GIXCIB</t>
  </si>
  <si>
    <t>[Pd@@]1(C)(N2C=CN([Ru]345([C][O])[N]6=C7C(=C(C6=Cc6c(c(c(C=C8C(=C(C(=[N]48)C=c4n3c(=C7)c(c4CC)CC)CC)CC)n56)CC)CC)CC)CC)[CH]C2=C2C=CC=CN12)Cl</t>
  </si>
  <si>
    <t>{"audit_creation_date": "2014-01-31", "audit_creation_method": "CSD-ConQuest-V1", "database_code_CSD": "GIXCIB", "database_code_depnum_ccdc_archive": "CCDC 824383", "chemical_formula_sum": "C48 H56 Cl3 N7 O1 Pd1 Ru1", "chemical_formula_moiety": "", "journal_volume": "753", "journal_year": "2014", "journal_page_first": "48", "journal_name_full": "J.Organomet.Chem. ", "publ_author_name": ["Yusuke Yasu", "A.Inagaki", "M.Akita"]}</t>
  </si>
  <si>
    <t>10.1016/j.jorganchem.2013.12.008</t>
  </si>
  <si>
    <t>GOBBUV01</t>
  </si>
  <si>
    <t>c1cccc(C2=C3C=CC4=[N]3[Fe]35(n6c(=C4c4ccccc4)ccc6=C(C4=[N]5C(=C(c5ccc2n35)c2ccccc2)C=C4)c2ccccc2)N2[C](C)NC=C2)c1</t>
  </si>
  <si>
    <t>{"audit_creation_date": "2008-11-13", "audit_creation_method": "CSD-ConQuest-V1", "database_code_CSD": "GOBBUV01", "database_code_depnum_ccdc_archive": "CCDC 691579", "chemical_formula_sum": "C50 H37 Fe1 N7", "chemical_formula_moiety": "", "journal_volume": "130", "journal_year": "2008", "journal_page_first": "3127", "journal_name_full": "J.Am.Chem.Soc. ", "publ_author_name": ["Chuanjiang Hu", "B.C.Noll", "P.M.B.Piccoli", "A.J.Schultz", "C.E.Schulz", "W.R.Scheidt"]}</t>
  </si>
  <si>
    <t>10.1021/ja078222l</t>
  </si>
  <si>
    <t>GOBBUV</t>
  </si>
  <si>
    <t>c1cccc(C2=c3ccc4=C(C5=[N]6C(=C(c7ccc8C(=C9C=CC2=[N]9[Fe]6(n34)(N2[C](C)NC=C2)n78)c2ccccc2)c2ccccc2)C=C5)c2ccccc2)c1</t>
  </si>
  <si>
    <t>{"audit_creation_date": "2008-11-13", "audit_creation_method": "CSD-ConQuest-V1", "database_code_CSD": "GOBBUV", "database_code_depnum_ccdc_archive": "CCDC 691578", "chemical_formula_sum": "C50 H37 Fe1 N7", "chemical_formula_moiety": "", "journal_volume": "130", "journal_year": "2008", "journal_page_first": "3127", "journal_name_full": "J.Am.Chem.Soc. ", "publ_author_name": ["Chuanjiang Hu", "B.C.Noll", "P.M.B.Piccoli", "A.J.Schultz", "C.E.Schulz", "W.R.Scheidt"]}</t>
  </si>
  <si>
    <t>GOBWAV</t>
  </si>
  <si>
    <t>[Ni@]123n4c5=C(C6=[N]3C(=C(c3c(c(c(C(=C7C=C(C=O)C(=[N]17)C(=c4c(c5CC)CC)c1ccccc1)c1ccccc1)n23)CC)CC)c1ccccc1)C(=C6)[CH][O])c1ccccc1</t>
  </si>
  <si>
    <t>{"audit_creation_date": "1999-05-04", "audit_creation_method": "CSD-ConQuest-V1", "database_code_CSD": "GOBWAV", "database_code_depnum_ccdc_archive": "CCDC 113960", "chemical_formula_sum": "C54 H46 Cl2 N4 Ni1 O1", "chemical_formula_moiety": "", "journal_volume": null, "journal_year": "1998", "journal_page_first": "4187", "journal_name_full": "J.Chem.Soc.,Dalton Trans. ", "publ_author_name": ["M.O.Senge", "V.Gerstung", "K.Ruhlandt-Senge", "S.Runge", "I.Lehmann"]}</t>
  </si>
  <si>
    <t>10.1039/a806460a</t>
  </si>
  <si>
    <t>GOFNAT</t>
  </si>
  <si>
    <t>[Rh]123(CCCc4ccccc4)[N]4=C5C=CC4=C(c4ccc(C(=C6[N]2=C(C(=c2ccc(=C5c5ccc(cc5)C)n12)c1ccc(cc1)C)C=C6)c1ccc(cc1)C)n34)c1ccc(cc1)C</t>
  </si>
  <si>
    <t>{"audit_creation_date": "2019-06-13", "audit_creation_method": "CSD-ConQuest-V1", "database_code_CSD": "GOFNAT", "database_code_depnum_ccdc_archive": "CCDC 1908688", "chemical_formula_sum": "C64 H55 N4 Rh1", "chemical_formula_moiety": "", "journal_volume": "38", "journal_year": "2019", "journal_page_first": "2582", "journal_name_full": "Organometallics ", "publ_author_name": ["Chen Chen", "Shiyu Feng", "Kin Shing Chan"]}</t>
  </si>
  <si>
    <t>10.1021/acs.organomet.9b00290</t>
  </si>
  <si>
    <t>GONHAS</t>
  </si>
  <si>
    <t>[Ni@@]123n4c5=C(C6=[N]1C(=C(c1n2c(C(=C2[N]3=C(C(=c4cc5)C#Cc3ccc(cc3)N(C)C)C=C2)c2ccccc2)cc1)/C=C/C=O)C=C6)c1ccccc1</t>
  </si>
  <si>
    <t>{"audit_creation_date": "1999-09-09", "audit_creation_method": "CSD-ConQuest-V1", "database_code_CSD": "GONHAS", "database_code_depnum_ccdc_archive": null, "chemical_formula_sum": "C45 H31 N5 Ni1 O1", "chemical_formula_moiety": "", "journal_volume": "63", "journal_year": "1998", "journal_page_first": "7143", "journal_name_full": "J.Org.Chem. ", "publ_author_name": ["M.Yeung", "A.C.H.Ng", "M.G.B.Drew", "E.Vorpagel", "E.M.Breitung", "R.J.McMahon", "D.K.P.Ng"]}</t>
  </si>
  <si>
    <t>10.1021/jo971597c</t>
  </si>
  <si>
    <t>GONHEW</t>
  </si>
  <si>
    <t>[Ni@@]123[N]4=C5C(=c6n3c(=C(C3=[N]2C(=C(c2n1c(C(=C4C=C5)c1ccccc1)cc2)C=O)C=C3)c1ccccc1)cc6)C#Cc1ccc(cc1)N(C)C</t>
  </si>
  <si>
    <t>{"audit_creation_date": "1999-09-09", "audit_creation_method": "CSD-ConQuest-V1", "database_code_CSD": "GONHEW", "database_code_depnum_ccdc_archive": null, "chemical_formula_sum": "C43 H29 N5 Ni1 O1", "chemical_formula_moiety": "", "journal_volume": "63", "journal_year": "1998", "journal_page_first": "7143", "journal_name_full": "J.Org.Chem. ", "publ_author_name": ["M.Yeung", "A.C.H.Ng", "M.G.B.Drew", "E.Vorpagel", "E.M.Breitung", "R.J.McMahon", "D.K.P.Ng"]}</t>
  </si>
  <si>
    <t>HADHED</t>
  </si>
  <si>
    <t>c1(c2c3c(CCc3ccc2)cc1)C1=c2ccc3=C(C4=[N]5[Pt@@]6(n23)[N]2=C1C=CC2=C(c1ccc(C(=C5C=C4)c2ccc3c4c2cccc4CC3)n61)c1ccc2CCc3c2c1ccc3)c1ccc2CCc3c2c1ccc3</t>
  </si>
  <si>
    <t>{"audit_creation_date": "2021-09-06", "audit_creation_method": "CSD-ConQuest-V1", "database_code_CSD": "HADHED", "database_code_depnum_ccdc_archive": "CCDC 2075384", "chemical_formula_sum": "C68 H44 N4 Pt1", "chemical_formula_moiety": "", "journal_volume": null, "journal_year": "2021", "journal_page_first": null, "journal_name_full": "Eur.J.Inorg.Chem. ", "publ_author_name": ["A.Garai", "M.Villa", "M.Marchini", "S.K.Patra", "Tanmoy Pain", "S.Mondal", "P.Ceroni", "Sanjib Kar"]}</t>
  </si>
  <si>
    <t>10.1002/ejic.202101000</t>
  </si>
  <si>
    <t>HALWAS</t>
  </si>
  <si>
    <t>c1c2=C(C3=[N]4C(=C(c5ccccc5)c5ccc6C(=C7C=CC8=[N]7[Zn]4(n2c(=C8c2ccccc2)c1)(n56)OC1=C2C(=CC=C[CH]2)Oc2c1cccc2)c1ccccc1)C=C3)c1ccccc1</t>
  </si>
  <si>
    <t>{"audit_creation_date": "1994-04-27", "audit_creation_method": "CSD-ConQuest-V1", "database_code_CSD": "HALWAS", "database_code_depnum_ccdc_archive": null, "chemical_formula_sum": "C57 H36 N4 O2 Zn1", "chemical_formula_moiety": "", "journal_volume": "115", "journal_year": "1993", "journal_page_first": "9480", "journal_name_full": "J.Am.Chem.Soc. ", "publ_author_name": ["M.P.Byrn", "C.J.Curtis", "Yu.Hsiou", "S.I.Khan", "P.A.Sawin", "S.K.Tendick", "A.Terzis", "C.E.Strouse"]}</t>
  </si>
  <si>
    <t>10.1021/ja00074a013</t>
  </si>
  <si>
    <t>HALWOG</t>
  </si>
  <si>
    <t>c12=C(C3=[N]4C(=C(c5n6c(C(=C7C=CC8=[N]7[Zn]46(n2c(=C8c2ccccc2)cc1)[NH2][C@H](c1ccccc1)C)c1ccccc1)cc5)c1ccccc1)C=C3)c1ccccc1</t>
  </si>
  <si>
    <t>{"audit_creation_date": "1994-04-27", "audit_creation_method": "CSD-ConQuest-V1", "database_code_CSD": "HALWOG", "database_code_depnum_ccdc_archive": null, "chemical_formula_sum": "C60 H50 N6 Zn1", "chemical_formula_moiety": "", "journal_volume": "115", "journal_year": "1993", "journal_page_first": "9480", "journal_name_full": "J.Am.Chem.Soc. ", "publ_author_name": ["M.P.Byrn", "C.J.Curtis", "Yu.Hsiou", "S.I.Khan", "P.A.Sawin", "S.K.Tendick", "A.Terzis", "C.E.Strouse"]}</t>
  </si>
  <si>
    <t>HALXIB</t>
  </si>
  <si>
    <t>c1ccccc1C1=C2C=CC3=[N]2[Cd]24(n5c(=C(C6=[N]4C(=C(c4ccc1n24)c1ccccc1)C=C6)c1ccccc1)ccc5=C3c1ccccc1)N1[CH]C=C(C=C1)C</t>
  </si>
  <si>
    <t>{"audit_creation_date": "1994-04-27", "audit_creation_method": "CSD-ConQuest-V1", "database_code_CSD": "HALXIB", "database_code_depnum_ccdc_archive": null, "chemical_formula_sum": "C62 H49 Cd1 N7", "chemical_formula_moiety": "", "journal_volume": "115", "journal_year": "1993", "journal_page_first": "9480", "journal_name_full": "J.Am.Chem.Soc. ", "publ_author_name": ["M.P.Byrn", "C.J.Curtis", "Yu.Hsiou", "S.I.Khan", "P.A.Sawin", "S.K.Tendick", "A.Terzis", "C.E.Strouse"]}</t>
  </si>
  <si>
    <t>HAMDAA</t>
  </si>
  <si>
    <t>c1c2=C(C3=[N]4C(=C(c5ccccc5)c5ccc6C(=C7C=CC8=[N]7[Zn]4(n2c(=C8c2ccccc2)c1)(n56)O[C]1c2c(Cc4c1cccc4)cccc2)c1ccccc1)C=C3)c1ccccc1</t>
  </si>
  <si>
    <t>{"audit_creation_date": "1994-04-27", "audit_creation_method": "CSD-ConQuest-V1", "database_code_CSD": "HAMDAA", "database_code_depnum_ccdc_archive": null, "chemical_formula_sum": "C58 H38 N4 O1 Zn1", "chemical_formula_moiety": "", "journal_volume": "115", "journal_year": "1993", "journal_page_first": "9480", "journal_name_full": "J.Am.Chem.Soc. ", "publ_author_name": ["M.P.Byrn", "C.J.Curtis", "Yu.Hsiou", "S.I.Khan", "P.A.Sawin", "S.K.Tendick", "A.Terzis", "C.E.Strouse"]}</t>
  </si>
  <si>
    <t>HAMDII</t>
  </si>
  <si>
    <t>[N]12=C3C=CC2=C(c2n4[Zn]51([N]1=C(C(=c6n5c(=C3c3ccccc3)cc6)c3ccccc3)C=CC1=C(c4cc2)c1ccccc1)O[CH]c1ccccc1)c1ccccc1</t>
  </si>
  <si>
    <t>{"audit_creation_date": "1994-04-27", "audit_creation_method": "CSD-ConQuest-V1", "database_code_CSD": "HAMDII", "database_code_depnum_ccdc_archive": null, "chemical_formula_sum": "C58 H40 N4 O2 Zn1", "chemical_formula_moiety": "", "journal_volume": "115", "journal_year": "1993", "journal_page_first": "9480", "journal_name_full": "J.Am.Chem.Soc. ", "publ_author_name": ["M.P.Byrn", "C.J.Curtis", "Yu.Hsiou", "S.I.Khan", "P.A.Sawin", "S.K.Tendick", "A.Terzis", "C.E.Strouse"]}</t>
  </si>
  <si>
    <t>HAMGUX</t>
  </si>
  <si>
    <t>c1cccc(C2=C3C=CC4=[N]3[Zn]35(n6c(C(=C7C=CC(=[N]57)C(=c5ccc(=C4c4ccccc4)n35)c3ccccc3)c3ccccc3)ccc26)O[C](CCC(=O)C)C)c1</t>
  </si>
  <si>
    <t>null</t>
  </si>
  <si>
    <t>HAMHIM</t>
  </si>
  <si>
    <t>[Zn]123([N]4=C5C=CC4=C(c4n1c(C(=C1[N]2=C(C(=c2ccc(=C5c5ccccc5)n32)c2ccccc2)C=C1)c1ccccc1)cc4)c1ccccc1)O[C]1CC[C@@H](CC1)C</t>
  </si>
  <si>
    <t>{"audit_creation_date": "1994-04-27", "audit_creation_method": "CSD-ConQuest-V1", "database_code_CSD": "HAMHIM", "database_code_depnum_ccdc_archive": null, "chemical_formula_sum": "C51 H40 N4 O1 Zn1", "chemical_formula_moiety": "", "journal_volume": "115", "journal_year": "1993", "journal_page_first": "9480", "journal_name_full": "J.Am.Chem.Soc. ", "publ_author_name": ["M.P.Byrn", "C.J.Curtis", "Yu.Hsiou", "S.I.Khan", "P.A.Sawin", "S.K.Tendick", "A.Terzis", "C.E.Strouse"]}</t>
  </si>
  <si>
    <t>HAMLAI</t>
  </si>
  <si>
    <t>[Zn]123(n4c5C(=C6C=CC(=[N]26)C(=c2ccc(=C(C6=[N]3C(=C(c4cc5)c3ccccc3)C=C6)c3ccccc3)n12)c1ccccc1)c1ccccc1)[NH2]c1cc(ccc1)N(=O)=O</t>
  </si>
  <si>
    <t>{"audit_creation_date": "1994-04-27", "audit_creation_method": "CSD-ConQuest-V1", "database_code_CSD": "HAMLAI", "database_code_depnum_ccdc_archive": null, "chemical_formula_sum": "C50 H34 N6 O2 Zn1", "chemical_formula_moiety": "", "journal_volume": "115", "journal_year": "1993", "journal_page_first": "9480", "journal_name_full": "J.Am.Chem.Soc. ", "publ_author_name": ["M.P.Byrn", "C.J.Curtis", "Yu.Hsiou", "S.I.Khan", "P.A.Sawin", "S.K.Tendick", "A.Terzis", "C.E.Strouse"]}</t>
  </si>
  <si>
    <t>HAZMUR</t>
  </si>
  <si>
    <t>[Ru]123([C][O])([N]4=C5C(=c6ccc(=C(C7=[N]2C(=C(c2ccc(C(=C4C=C5)c4c(c(c(c(c4F)F)F)F)F)n12)c1c(c(c(c(c1F)F)F)F)F)C=C7)c1c(c(c(c(c1F)F)F)F)F)n36)c1c(c(c(c(c1F)F)F)F)F)[O]</t>
  </si>
  <si>
    <t>{"audit_creation_date": "2006-04-25", "audit_creation_method": "CSD-ConQuest-V1", "database_code_CSD": "HAZMUR", "database_code_depnum_ccdc_archive": "CCDC 278038", "chemical_formula_sum": "C47 H14 Cl4 F20 N4 O2 Ru1", "chemical_formula_moiety": "", "journal_volume": "11", "journal_year": "2005", "journal_page_first": "7040", "journal_name_full": "Chem.-Eur.J. ", "publ_author_name": ["Chi-Ming Che", "Jun-Long Zhang", "Rui Zhang", "Jie-Sheng Huang", "Tat-Shing Lai", "Wai-Man Tsui", "Xiang-Ge Zhou", "Zhong-Yuan Zhou", "Nianyong Zhu", "Chi Kwong Chang"]}</t>
  </si>
  <si>
    <t>10.1002/chem.200500814</t>
  </si>
  <si>
    <t>HETDAL</t>
  </si>
  <si>
    <t>c12=C(C(C)C)C3=[N]4[Ni@@]56n1c(=C(C1=[N]6C(=C(c6n5c(C(=C4C=C3)C(C)C)cc6)C(C)C)C=C1)C(C)C)cc2</t>
  </si>
  <si>
    <t>{"audit_creation_date": "1995-05-01", "audit_creation_method": "CSD-ConQuest-V1", "database_code_CSD": "HETDAL", "database_code_depnum_ccdc_archive": null, "chemical_formula_sum": "C32 H36 N4 Ni1", "chemical_formula_moiety": "", "journal_volume": "33", "journal_year": "1994", "journal_page_first": "1879", "journal_name_full": "Angew.Chem.,Int.Ed. ", "publ_author_name": ["T.Ema", "M.O.Senge", "N.Y.Nelson", "H.Ogoshi", "K.M.Smith"]}</t>
  </si>
  <si>
    <t>10.1002/anie.199418791</t>
  </si>
  <si>
    <t>HEWDAO</t>
  </si>
  <si>
    <t>[Ni@]123n4c5=CC6=[N]3C(=C(c3c(c(c(C=C7C(=C(C(=[N]17)C(=c4c(c5C)CC)CC)CC)C)n23)C)CC)CC)C(=C6C)CC</t>
  </si>
  <si>
    <t>{"audit_creation_date": "1995-08-02", "audit_creation_method": "CSD-ConQuest-V1", "database_code_CSD": "HEWDAO", "database_code_depnum_ccdc_archive": null, "chemical_formula_sum": "C36 H44 N4 Ni1", "chemical_formula_moiety": "", "journal_volume": "33", "journal_year": "1994", "journal_page_first": "3865", "journal_name_full": "Inorg.Chem. ", "publ_author_name": ["C.J.Medforth", "M.O.Senge", "T.P.Forsyth", "J.D.Hobbs", "J.A.Shelnutt", "K.M.Smith"]}</t>
  </si>
  <si>
    <t>10.1021/ic00096a008</t>
  </si>
  <si>
    <t>HISDUI</t>
  </si>
  <si>
    <t>c1(ccccc1)C1=C2[N]3=C(C(=c4n5[Os]63([N]3=C(C=CC3=C(c3ccccc3)c3n6c1cc3)C(=c5cc4)c1ccccc1)(N(c1ccccc1)[O])N(c1ccccc1)[O])c1ccccc1)C=C2</t>
  </si>
  <si>
    <t>{"audit_creation_date": "1999-06-22", "audit_creation_method": "CSD-ConQuest-V1", "database_code_CSD": "HISDUI", "database_code_depnum_ccdc_archive": null, "chemical_formula_sum": "C58 H42 Cl4 N6 O2 Os1", "chemical_formula_moiety": "", "journal_volume": "37", "journal_year": "1998", "journal_page_first": "4689", "journal_name_full": "Inorg.Chem. ", "publ_author_name": ["Li Chen", "M.A.Khan", "G.B.Richter-Addo", "V.G.Young Junior", "D.R.Powell"]}</t>
  </si>
  <si>
    <t>10.1021/ic980463u</t>
  </si>
  <si>
    <t>HISFIY</t>
  </si>
  <si>
    <t>c1ccc(N([O])[Os]234(n5c6ccc5C(=C5[N]2=C(C=C5)C(=c2n3c(=C(C3=[N]4C(=C6c4c(C)cc(C)cc4C)C=C3)c3c(cc(cc3C)C)C)cc2)c2c(cc(C)cc2C)C)c2c(cc(cc2C)C)C)N(c2ccccc2)[O])cc1</t>
  </si>
  <si>
    <t>{"audit_creation_date": "1999-06-22", "audit_creation_method": "CSD-ConQuest-V1", "database_code_CSD": "HISFIY", "database_code_depnum_ccdc_archive": null, "chemical_formula_sum": "C74 H68 N6 O2 Os1", "chemical_formula_moiety": "", "journal_volume": "37", "journal_year": "1998", "journal_page_first": "4689", "journal_name_full": "Inorg.Chem. ", "publ_author_name": ["Li Chen", "M.A.Khan", "G.B.Richter-Addo", "V.G.Young Junior", "D.R.Powell"]}</t>
  </si>
  <si>
    <t>HIZCEA</t>
  </si>
  <si>
    <t>[Co]123(c4ccc(cc4)OC)n4c5=C(C6=[N]1C(=C(c1ccc(C(=C7C=CC(=[N]37)C(=c4cc5)c3ccc(cc3)C)c3ccc(cc3)C)n21)c1ccc(cc1)C)C=C6)c1ccc(cc1)C</t>
  </si>
  <si>
    <t>{"audit_creation_date": "2014-04-09", "audit_creation_method": "CSD-ConQuest-V1", "database_code_CSD": "HIZCEA", "database_code_depnum_ccdc_archive": "CCDC 981392", "chemical_formula_sum": "C55.5 H45 Co1 N4 O1.5", "chemical_formula_moiety": "", "journal_volume": "43", "journal_year": "2014", "journal_page_first": "7771", "journal_name_full": "Dalton Trans. ", "publ_author_name": ["Chun Ran Liu", "Ying Ying Qian", "Kin Shing Chan"]}</t>
  </si>
  <si>
    <t>10.1039/c4dt00155a</t>
  </si>
  <si>
    <t>HIZFAX</t>
  </si>
  <si>
    <t>c1(ccc(cc1)C)S(=O)(=O)[N][Os]123([N]S(=O)(=O)c4ccc(cc4)C)[N]4=C5C(=c6ccc(=C(C7=[N]2C(=C(c2ccc(C(=C4C=C5)c4ccccc4)n12)c1ccccc1)C=C7)c1ccccc1)n36)c1ccccc1</t>
  </si>
  <si>
    <t>{"audit_creation_date": "1999-10-05", "audit_creation_method": "CSD-ConQuest-V1", "database_code_CSD": "HIZFAX", "database_code_depnum_ccdc_archive": "CCDC 1176853", "chemical_formula_sum": "C58 H42 N6 O4 Os1 S2", "chemical_formula_moiety": "", "journal_volume": "37", "journal_year": "1998", "journal_page_first": "6564", "journal_name_full": "Inorg.Chem. ", "publ_author_name": ["Sze-Man Au", "Wai-Hong Fung", "Jie-Sheng Huang", "Kung-Kai Cheung", "Chi-Ming Che"]}</t>
  </si>
  <si>
    <t>10.1021/ic980256u</t>
  </si>
  <si>
    <t>HOHZAG</t>
  </si>
  <si>
    <t>C1=CC2=[N]3[Rh]45(n6c(=C2c2ccc(cc2)C)ccc6=C(C2=[N]4C(=C(c4ccc(C(=C13)c1ccc(C)cc1)n54)c1ccc(cc1)C)C=C2)c1ccc(C)cc1)C1CCCCC1</t>
  </si>
  <si>
    <t>{"audit_creation_date": "2009-03-13", "audit_creation_method": "CSD-ConQuest-V1", "database_code_CSD": "HOHZAG", "database_code_depnum_ccdc_archive": "CCDC 707974", "chemical_formula_sum": "C55 H49 Cl2 N4 Rh1", "chemical_formula_moiety": "", "journal_volume": "27", "journal_year": "2008", "journal_page_first": "4625", "journal_name_full": "Organometallics ", "publ_author_name": ["Yun Wai Chan", "Kin Shing Chan"]}</t>
  </si>
  <si>
    <t>10.1021/om800397p</t>
  </si>
  <si>
    <t>HOHZEK</t>
  </si>
  <si>
    <t>c1cc(C2=C3C=CC4=[N]3[Rh]35(n6c(=C4c4ccc(cc4)C)ccc6=C(C4=[N]5C(=C(c5ccc2n35)c2ccc(cc2)C)C=C4)c2ccc(C)cc2)C2CCCC2)ccc1C</t>
  </si>
  <si>
    <t>{"audit_creation_date": "2009-03-13", "audit_creation_method": "CSD-ConQuest-V1", "database_code_CSD": "HOHZEK", "database_code_depnum_ccdc_archive": "CCDC 707975", "chemical_formula_sum": "C55 H51 N4 O1 Rh1", "chemical_formula_moiety": "", "journal_volume": "27", "journal_year": "2008", "journal_page_first": "4625", "journal_name_full": "Organometallics ", "publ_author_name": ["Yun Wai Chan", "Kin Shing Chan"]}</t>
  </si>
  <si>
    <t>HOZKEN</t>
  </si>
  <si>
    <t>[Zn]123(n4c5C(=C6[N]2=C(C(=c2n3c(=C(C3=[N]1C(=C(c4cc5)C1=C[CH]N([Co]45(C)(N(C(=C(C)N4[O])C)[O])N(C(=C(C)N5[O])C)[O])C=C1)C=C3)C1=C[CH]N([Co]34(C)(N(C(=C(C)N3[O])C)[O])N(C(=C(C)N4[O])C)[O])C=C1)cc2)C1=C[CH]N([Co]23(C)(N(C(=C(C)N3[O])C)[O])N(C(=C(C)N2[O])C)[O])C=C1)C=C6)C1=C[CH]N([Co]23(C)(N(C(=C(C)N2[O])C)[O])N(C(=C(C)N3[O])C)[O])C=C1)[O]</t>
  </si>
  <si>
    <t>{"audit_creation_date": "2009-10-28", "audit_creation_method": "CSD-ConQuest-V1", "database_code_CSD": "HOZKEN", "database_code_depnum_ccdc_archive": "CCDC 743643", "chemical_formula_sum": "C80 H101 Cl9 Co4 N24 O18 Zn1", "chemical_formula_moiety": "", "journal_volume": "48", "journal_year": "2009", "journal_page_first": "5626", "journal_name_full": "Inorg.Chem. ", "publ_author_name": ["J.Manono", "P.A.Marzilli", "F.R.Fronczek", "L.G.Marzilli"]}</t>
  </si>
  <si>
    <t>10.1021/ic900600z</t>
  </si>
  <si>
    <t>HUGXIT</t>
  </si>
  <si>
    <t>Fc1c(C2=C3C=CC4=[N]3[Ru]35(n6c(=C4c4c(F)cccc4F)ccc6=C(c4c(cccc4F)F)C4=[N]3C(=C(c3c(F)cccc3F)c3ccc2n53)C=C4)([N][C@@]23C[C@@H]4C[C@H](C3)C[C@H](C2)C4)[O])c(F)ccc1</t>
  </si>
  <si>
    <t>{"audit_creation_date": "2020-04-20", "audit_creation_method": "CSD-ConQuest-V1", "database_code_CSD": "HUGXIT", "database_code_depnum_ccdc_archive": "CCDC 1972136", "chemical_formula_sum": "C60 H41 F8 N5 O1 Ru1", "chemical_formula_moiety": "", "journal_volume": "56", "journal_year": "2020", "journal_page_first": "4428", "journal_name_full": "Chem.Commun. ", "publ_author_name": ["Ka-Pan Shing", "Qingyun Wan", "Xiao-Yong Chang", "Chi-Ming Che"]}</t>
  </si>
  <si>
    <t>10.1039/c9cc09972g</t>
  </si>
  <si>
    <t>HUWSEZ</t>
  </si>
  <si>
    <t>C12=C(c3ccc4C(=C5C=CC6=[N]5[Ir]5([C@]78C[C@@H]9C[C@@H](C[C@H](C8)C9)C7)([N]2=C(C=C1)C(=c1ccc(=C6c2ccc(cc2)C)n51)c1ccc(cc1)C)n34)c1ccc(cc1)C)c1ccc(cc1)C</t>
  </si>
  <si>
    <t>{"audit_creation_date": "2015-11-13", "audit_creation_method": "CSD-ConQuest-V1", "database_code_CSD": "HUWSEZ", "database_code_depnum_ccdc_archive": "CCDC 1048814", "chemical_formula_sum": "C58 H51 Ir1 N4", "chemical_formula_moiety": "", "journal_volume": "44", "journal_year": "2015", "journal_page_first": "20618", "journal_name_full": "Dalton Trans. ", "publ_author_name": ["Huiping Zuo", "Zhipeng Liu", "Wu Yang", "Zhikuan Zhou", "Kin Shing Chan"]}</t>
  </si>
  <si>
    <t>10.1039/c5dt03845f</t>
  </si>
  <si>
    <t>HUWTAW</t>
  </si>
  <si>
    <t>c1(ccc(cc1)C)C1=C2C=CC3=[N]2[Ir]24(n5c1ccc5C(=C1C=CC(=[N]41)C(=c1ccc(=C3c3ccc(cc3)C)n21)c1ccc(C)cc1)c1ccc(cc1)C)C1CCCC1</t>
  </si>
  <si>
    <t>HUWTEA</t>
  </si>
  <si>
    <t>[Mn]123(Cl)n4c5C(=C6C=CC(=[N]26)C(=c2ccc(=C(C6=[N]1C(=C(c4cc5)C(=O)OCC)C=C6)C(=O)OCC)n32)C(=O)OCC)C(=O)OCC</t>
  </si>
  <si>
    <t>{"audit_creation_date": "2015-11-13", "audit_creation_method": "CSD-ConQuest-V1", "database_code_CSD": "HUWTEA", "database_code_depnum_ccdc_archive": "CCDC 1059156", "chemical_formula_sum": "C32 H28 Cl1 Mn1 N4 O8", "chemical_formula_moiety": "", "journal_volume": "5", "journal_year": "2015", "journal_page_first": "97391", "journal_name_full": "RSC Advances ", "publ_author_name": ["Hua-Hua Wang", "Hui-Qing Yuan", "M.H.R.Mahmood", "Yi-Yu Jiang", "Fan Cheng", "Lei Shi", "Hai-Yang Liu"]}</t>
  </si>
  <si>
    <t>10.1039/c5ra15943a</t>
  </si>
  <si>
    <t>ICIBOM</t>
  </si>
  <si>
    <t>[Ru]123([C][O])([S]4CCN(CC4)S(=O)(=O)c4cccc5c(cccc45)N(C)C)[N]4=C5C=CC4=C(c4ccc(C(=C6C=CC(=[N]26)C(=c2ccc(=C5c5ccccc5)n12)c1ccccc1)c1ccccc1)n34)c1ccccc1</t>
  </si>
  <si>
    <t>{"audit_creation_date": "2005-02-10", "audit_creation_method": "CSD-ConQuest-V1", "database_code_CSD": "ICIBOM", "database_code_depnum_ccdc_archive": "CCDC 254207", "chemical_formula_sum": "C62.5 H51 Cl3 N6 O3 Ru1 S2", "chemical_formula_moiety": "", "journal_volume": "43", "journal_year": "2004", "journal_page_first": "6366", "journal_name_full": "Inorg.Chem. ", "publ_author_name": ["Mi Hee Lim", "S.J.Lippard"]}</t>
  </si>
  <si>
    <t>10.1021/ic035418n</t>
  </si>
  <si>
    <t>ICIYEY</t>
  </si>
  <si>
    <t>C(#N)c1ccc(C2=c3ccc4=C(C5=[N]6[Hg@]7(n34)[N]3=C2C=CC3=C(c2ccc(C(=C6C=C5)c3ccc(cc3)C#N)n72)c2ccc(cc2)C#N)c2ccc(cc2)C#N)cc1</t>
  </si>
  <si>
    <t>{"audit_creation_date": "2002-02-07", "audit_creation_method": "CSD-ConQuest-V1", "database_code_CSD": "ICIYEY", "database_code_depnum_ccdc_archive": "CCDC 174495", "chemical_formula_sum": "C48 H24 Hg1 N8", "chemical_formula_moiety": "", "journal_volume": "40", "journal_year": "2001", "journal_page_first": "6064", "journal_name_full": "Inorg.Chem. ", "publ_author_name": ["Ming-Cheng Wang", "Long-Seen Sue", "Bing-Chung Liau", "Bao-Tsan Ko", "S.Elango", "Jyh-Horung Chen"]}</t>
  </si>
  <si>
    <t>10.1021/ic010275v</t>
  </si>
  <si>
    <t>IFASEQ</t>
  </si>
  <si>
    <t>C12=C(c3ccc4C(=C5C=CC6=[N]5[Zn]5([N]2=C(C=C1)C(=c1ccc(=C6c2ccccc2)n51)c1ccccc1)(n34)[N][C][Cu@@]12N3[CH]C=CC=C3C[N@@]1(CC1=CC=C[CH]N21)Cc1ccccn1)c1ccccc1)c1ccccc1</t>
  </si>
  <si>
    <t>{"audit_creation_date": "2018-08-07", "audit_creation_method": "CSD-ConQuest-V1", "database_code_CSD": "IFASEQ", "database_code_depnum_ccdc_archive": "CCDC 1835894", "chemical_formula_sum": "C64 H48 Cl2 Cu1 N9 Zn1", "chemical_formula_moiety": "", "journal_volume": "140", "journal_year": "2018", "journal_page_first": "9904", "journal_name_full": "J.Am.Chem.Soc. ", "publ_author_name": ["Debangsu Sil", "Z.Martinez", "Shengda Ding", "N.Bhuvanesh", "D.J.Darensbourg", "M.B.Hall", "Marcetta Y.Darensbourg"]}</t>
  </si>
  <si>
    <t>10.1021/jacs.8b04189</t>
  </si>
  <si>
    <t>IJURAI</t>
  </si>
  <si>
    <t>c1ccccc1C1=c2ccc3=C(C4=[N]5[Zn]6(n23)([N]2=C1C=CC2=C(c1ccc(C(=C5C=C4)c2ccccc2)n61)c1ccccc1)ON1C=CC(=C2C=CC=C[C]12)N(=O)=O)c1ccccc1</t>
  </si>
  <si>
    <t>{"audit_creation_date": "2016-04-05", "audit_creation_method": "CSD-ConQuest-V1", "database_code_CSD": "IJURAI", "database_code_depnum_ccdc_archive": "CCDC 991715", "chemical_formula_sum": "C53 H34 N6 O3 Zn1", "chemical_formula_moiety": "", "journal_volume": "85", "journal_year": "2015", "journal_page_first": "666", "journal_name_full": "Zh.Obshch.Khim.(Russ.)(Russ.J.Gen.Chem.) ", "publ_author_name": ["V.P.Andreev", "P.S.Sobolev", "N.Sh Lebedeva", "V.A.Tafeenko"]}</t>
  </si>
  <si>
    <t>10.1134/s1070363215050151</t>
  </si>
  <si>
    <t xml:space="preserve">Zh.Obshch.Khim.(Russ.)(Russ.J.Gen.Chem.) </t>
  </si>
  <si>
    <t>IKACEE</t>
  </si>
  <si>
    <t>c1(ccccc1)C1=C2C=CC3=[N]2[Zn]24(n5c(=C(C6=[N]4C(=C(c4ccc1n24)c1ccccc1)C=C6)c1ccccc1)ccc5=C3c1ccccc1)ON1[CH]C=CC=C1/C=C/c1ccc(cc1)N(C)C</t>
  </si>
  <si>
    <t>{"audit_creation_date": "2016-04-05", "audit_creation_method": "CSD-ConQuest-V1", "database_code_CSD": "IKACEE", "database_code_depnum_ccdc_archive": "CCDC 912706", "chemical_formula_sum": "C61 H46 Cl6 N6 O1 Zn1", "chemical_formula_moiety": "", "journal_volume": "85", "journal_year": "2015", "journal_page_first": "666", "journal_name_full": "Zh.Obshch.Khim.(Russ.)(Russ.J.Gen.Chem.) ", "publ_author_name": ["V.P.Andreev", "P.S.Sobolev", "N.Sh Lebedeva", "V.A.Tafeenko"]}</t>
  </si>
  <si>
    <t>IMELIV</t>
  </si>
  <si>
    <t>C1(=c2n3[Fe]45(N6CCN(CC6)C)([N]6=C(C=CC6=C(c6ccc(C(=C7[N]4=C1C=C7)c1ccccc1)n56)c1ccccc1)C(=c3cc2)c1ccccc1)N=O)c1ccccc1</t>
  </si>
  <si>
    <t>{"audit_creation_date": "2004-03-03", "audit_creation_method": "CSD-ConQuest-V1", "database_code_CSD": "IMELIV", "database_code_depnum_ccdc_archive": "CCDC 224406", "chemical_formula_sum": "C50 H40 Cl3 Fe1 N7 O1", "chemical_formula_moiety": "", "journal_volume": "42", "journal_year": "2003", "journal_page_first": "5722", "journal_name_full": "Inorg.Chem. ", "publ_author_name": ["G.R.A.Wyllie", "C.E.Schulz", "W.R.Scheidt"]}</t>
  </si>
  <si>
    <t>10.1021/ic034473t</t>
  </si>
  <si>
    <t>INIBAL</t>
  </si>
  <si>
    <t>O(c1ccc(C2=c3ccc4=C(C5=[N]6C(=C(c7ccc8C(=C9[N](=C2C=C9)[Cd]6(n34)(N2[CH]C=NC=C2)n78)c2ccc(OC)cc2)c2ccc(cc2)OC)C=C5)c2ccc(cc2)OC)cc1)C</t>
  </si>
  <si>
    <t>{"audit_creation_date": "2021-03-11", "audit_creation_method": "CSD-ConQuest-V1", "database_code_CSD": "INIBAL", "database_code_depnum_ccdc_archive": "CCDC 2069722", "chemical_formula_sum": "C52 H40 Cd1 N6 O4", "chemical_formula_moiety": "", "journal_volume": null, "journal_year": "2021", "journal_page_first": null, "journal_name_full": "CSD Communication(Private Communication) ", "publ_author_name": ["C.Mchiri", "h.Nasri", "T.Roisnel"]}</t>
  </si>
  <si>
    <t>10.30707/tlcsd5.3.1649037688.632982</t>
  </si>
  <si>
    <t>IRINIH</t>
  </si>
  <si>
    <t>[Zn]123(n4c5=C(C6=[N]3C(=C(c3ccc(C(=C7C(=C(C(=[N]17)C(=c4cc5)c1ccccc1)c1ccccc1)c1ccccc1)c1ccccc1)n23)c1ccccc1)C(=C6c1ccccc1)c1ccccc1)c1ccccc1)N1[CH]C=CC=C1</t>
  </si>
  <si>
    <t>{"audit_creation_date": "2011-07-22", "audit_creation_method": "CSD-ConQuest-V1", "database_code_CSD": "IRINIH", "database_code_depnum_ccdc_archive": "CCDC 789153", "chemical_formula_sum": "C73 H49 N5 Zn1", "chemical_formula_moiety": "", "journal_volume": "372", "journal_year": "2011", "journal_page_first": "417", "journal_name_full": "Inorg.Chim.Acta ", "publ_author_name": ["P.Bhyrappa", "K.Karunanithi"]}</t>
  </si>
  <si>
    <t>10.1016/j.ica.2011.02.057</t>
  </si>
  <si>
    <t>IRINON</t>
  </si>
  <si>
    <t>C1=CC2=C(c3c(c(c4C(=C5C=CC6=[N]5[Zn]5(n7c(=C(C1=[N]25)c1ccccc1)c(c(c7=C6c1ccccc1)c1ccccc1)c1ccccc1)([O])n34)c1ccccc1)c1ccccc1)c1ccccc1)c1ccccc1</t>
  </si>
  <si>
    <t>{"audit_creation_date": "2011-07-22", "audit_creation_method": "CSD-ConQuest-V1", "database_code_CSD": "IRINON", "database_code_depnum_ccdc_archive": "CCDC 789154", "chemical_formula_sum": "C70 H48 Cl4 N4 O1 Zn1", "chemical_formula_moiety": "", "journal_volume": "372", "journal_year": "2011", "journal_page_first": "417", "journal_name_full": "Inorg.Chim.Acta ", "publ_author_name": ["P.Bhyrappa", "K.Karunanithi"]}</t>
  </si>
  <si>
    <t>IWIRUD</t>
  </si>
  <si>
    <t>c1(ccc(cc1)C)C1=c2n3[Co]45(C(=O)C(C)C)[N]6=C(C(=c3cc2)c2ccc(C)cc2)C=CC6=C(c2n5c(C(=C3C=CC1=[N]43)c1ccc(cc1)C)cc2)c1ccc(cc1)C</t>
  </si>
  <si>
    <t>{"audit_creation_date": "2016-09-15", "audit_creation_method": "CSD-ConQuest-V1", "database_code_CSD": "IWIRUD", "database_code_depnum_ccdc_archive": "CCDC 1504540", "chemical_formula_sum": "C52 H43 Co1 N4 O1", "chemical_formula_moiety": "", "journal_volume": "35", "journal_year": "2016", "journal_page_first": "2480", "journal_name_full": "Organometallics ", "publ_author_name": ["Siu Yin Lee", "Hong Sang Fung", "Shiyu Feng", "Kin Shing Chan"]}</t>
  </si>
  <si>
    <t>10.1021/acs.organomet.6b00352</t>
  </si>
  <si>
    <t>IWISAK</t>
  </si>
  <si>
    <t>c1cc(ccc1C1=C2[N]3=C(C=C2)C(=c2n4[Co]53(C(=O)C(C)C)[N]3=C(C(=c4cc2)c2ccc(cc2)OC)C=CC3=C(c2ccc1n52)c1ccc(OC)cc1)c1ccc(OC)cc1)OC</t>
  </si>
  <si>
    <t>{"audit_creation_date": "2016-09-15", "audit_creation_method": "CSD-ConQuest-V1", "database_code_CSD": "IWISAK", "database_code_depnum_ccdc_archive": "CCDC 1504541", "chemical_formula_sum": "C52 H43 Co1 N4 O5", "chemical_formula_moiety": "", "journal_volume": "35", "journal_year": "2016", "journal_page_first": "2480", "journal_name_full": "Organometallics ", "publ_author_name": ["Siu Yin Lee", "Hong Sang Fung", "Shiyu Feng", "Kin Shing Chan"]}</t>
  </si>
  <si>
    <t>IWOHEI</t>
  </si>
  <si>
    <t>c1c(C2=c3ccc4=C(c5ccccc5)C5=[N]6[Zn]7(N8[CH]C=C(N[P]([Fe]9%10([S@]%11[Fe]%10([S@@]9CCC%11)([C][O])([C][O])[C][O])([C][O])[C][O])(c9ccccc9)c9ccccc9)C=C8)(n8c(C(=C6C=C5)c5ccccc5)ccc8C(=C5[N]7=C2C=C5)c2ccccc2)n34)cccc1</t>
  </si>
  <si>
    <t>{"audit_creation_date": "2011-10-18", "audit_creation_method": "CSD-ConQuest-V1", "database_code_CSD": "IWOHEI", "database_code_depnum_ccdc_archive": "CCDC 806952", "chemical_formula_sum": "C70 H51 Cl2 Fe2 N6 O5 P1 S2 Zn1", "chemical_formula_moiety": "", "journal_volume": "696", "journal_year": "2011", "journal_page_first": "2767", "journal_name_full": "J.Organomet.Chem. ", "publ_author_name": ["Xu-Feng Liu", "Xun-Wen Xiao"]}</t>
  </si>
  <si>
    <t>10.1016/j.jorganchem.2011.05.007</t>
  </si>
  <si>
    <t>IZABOA</t>
  </si>
  <si>
    <t>[Zn]123(n4c5=C(C6=[N]3C(=C(c3c(c(c(C(=C7C(=C(C(=[N]17)C(=c4c(c5c1ccccc1)c1ccccc1)c1ccccc1)c1ccccc1)c1ccccc1)c1ccccc1)n23)c1ccccc1)c1ccccc1)c1ccccc1)C(=C6c1ccccc1)c1ccccc1)c1ccccc1)[N][C]C</t>
  </si>
  <si>
    <t>{"audit_creation_date": "2004-10-11", "audit_creation_method": "CSD-ConQuest-V1", "database_code_CSD": "IZABOA", "database_code_depnum_ccdc_archive": "CCDC 248727", "chemical_formula_sum": "C96 H66 N6 Zn1", "chemical_formula_moiety": "", "journal_volume": "60", "journal_year": "2004", "journal_page_first": "m1097", "journal_name_full": "Acta Crystallogr.,Sect.E:Struct.Rep.Online ", "publ_author_name": ["T.Kojima", "R.Harada"]}</t>
  </si>
  <si>
    <t>10.1107/s1600536804016447</t>
  </si>
  <si>
    <t>IZAFIZ</t>
  </si>
  <si>
    <t>c1(c2=CC3=[N]4[Zn@@]56n7c(c(c(c7C=C4C(=C3CC)CC)CC)CC)C(=C3C(=C(C(=[N]53)C=c(c1CC)n26)CC)CC)CCCC)CC</t>
  </si>
  <si>
    <t>{"audit_creation_date": "2011-10-11", "audit_creation_method": "CSD-ConQuest-V1", "database_code_CSD": "IZAFIZ", "database_code_depnum_ccdc_archive": "CCDC 817703", "chemical_formula_sum": "C40 H52 N4 Zn1", "chemical_formula_moiety": "", "journal_volume": "17", "journal_year": "2011", "journal_page_first": "7768", "journal_name_full": "Chem.-Eur.J. ", "publ_author_name": ["T.Kakui", "S.Sugawara", "Y.Hirata", "S.Kojima", "Y.Yamamoto"]}</t>
  </si>
  <si>
    <t>10.1002/chem.201101061</t>
  </si>
  <si>
    <t>JAQROJ</t>
  </si>
  <si>
    <t>[Ru]123(n4c5=C(C6=[N]3C(=C(c3ccc(C(=C7C=CC(=[N]17)C(=c4cc5)c1ccccc1)c1ccccc1)n23)c1ccccc1)C=C6)c1ccccc1)([N][C](c1ccccc1)c1ccccc1)O</t>
  </si>
  <si>
    <t>{"audit_creation_date": "2005-10-07", "audit_creation_method": "CSD-ConQuest-V1", "database_code_CSD": "JAQROJ", "database_code_depnum_ccdc_archive": "CCDC 256067", "chemical_formula_sum": "C57 H39 N5 O1 Ru1", "chemical_formula_moiety": "", "journal_volume": "44", "journal_year": "2005", "journal_page_first": "3780", "journal_name_full": "Inorg.Chem. ", "publ_author_name": ["Jie-Sheng Huang", "Sarana Ka-Yan Leung", "Zhong-Yuan Zhou", "Nianyong Zhu", "Chi-Ming Che"]}</t>
  </si>
  <si>
    <t>10.1021/ic0484102</t>
  </si>
  <si>
    <t>JAVJIC</t>
  </si>
  <si>
    <t>[Zn]123(n4c5=C(C6=[N]3C(=C(c3n2c(C(=C2[N]1=C(C(=c4cc5)c1ccccc1)C=C2)c1ccccc1)cc3)c1ccccc1)C=C6)c1ccccc1)N1[CH]C=C(CN2Cc3c(cccc3)OCCOc3ccccc3CN(CCC2)Cc2ccccc2)C=C1</t>
  </si>
  <si>
    <t>{"audit_creation_date": "2017-06-13", "audit_creation_method": "CSD-ConQuest-V1", "database_code_CSD": "JAVJIC", "database_code_depnum_ccdc_archive": "CCDC 1515159", "chemical_formula_sum": "C76 H63 N7 O2 Zn1", "chemical_formula_moiety": "", "journal_volume": "133", "journal_year": "2017", "journal_page_first": "419", "journal_name_full": "Polyhedron ", "publ_author_name": ["B.Ghanbari", "L.Shahhoseini", "M.Kubicki"]}</t>
  </si>
  <si>
    <t>10.1016/j.poly.2017.05.033</t>
  </si>
  <si>
    <t>JAWKOI</t>
  </si>
  <si>
    <t>[Ru]123([N@]4[N]N([C@](c5ccccc5)(C)C4)c4ccc(N(=O)=O)cc4)([N]4=C5C=CC4=C(c4n3c(C(=C3[N]2=C(C(=c2n1c(=C5c1ccccc1)cc2)c1ccccc1)C=C3)c1ccccc1)cc4)c1ccccc1)[C][O]</t>
  </si>
  <si>
    <t>{"audit_creation_date": "2006-01-09", "audit_creation_method": "CSD-ConQuest-V1", "database_code_CSD": "JAWKOI", "database_code_depnum_ccdc_archive": "CCDC 258146", "chemical_formula_sum": "C64 H52 N8 O4 Ru1", "chemical_formula_moiety": "", "journal_volume": "24", "journal_year": "2005", "journal_page_first": "4710", "journal_name_full": "Organometallics ", "publ_author_name": ["S.Fantauzzi", "E.Gallo", "A.Caselli", "F.Ragaini", "P.Macchi", "N.Casati", "S.Cenini"]}</t>
  </si>
  <si>
    <t>10.1021/om050244y</t>
  </si>
  <si>
    <t>JOCHOZ</t>
  </si>
  <si>
    <t>[Zn@@]123n4c5=CC6=[N]3C(=C(c3ccc(C(=C7C=CC(=[N]17)C(=c4cc5)c1ccccc1)[Pd]([P](c1ccccc1)(c1ccccc1)c1ccccc1)(Cl)[P](c1ccccc1)(c1ccccc1)c1ccccc1)n23)c1ccccc1)C=C6</t>
  </si>
  <si>
    <t>{"audit_creation_date": "2008-09-29", "audit_creation_method": "CSD-ConQuest-V1", "database_code_CSD": "JOCHOZ", "database_code_depnum_ccdc_archive": "CCDC 637318", "chemical_formula_sum": "C68.42 H49.84 Cl1.84 N4 P2 Pd1 Zn1", "chemical_formula_moiety": "", "journal_volume": null, "journal_year": "2008", "journal_page_first": "2598", "journal_name_full": "Dalton Trans. ", "publ_author_name": ["M.Y.Jiang", "Ji-Young Shin", "B.O.Patrick", "D.Dolphin"]}</t>
  </si>
  <si>
    <t>10.1039/b801163j</t>
  </si>
  <si>
    <t>JOCRUP</t>
  </si>
  <si>
    <t>C(=O)(C(C)(C)C)Nc1c(C2=c3ccc4=C(c5c(cccc5)NC(=O)C(C)(C)C)C5=[N]6[Fe]7(n34)([N]3=C2C=CC3=C(c2c(cccc2)NC(=O)C(C)(C)C)c2n7c(cc2)C(=C6C=C5)c2c(cccc2)NC(=O)C(C)(C)C)(N2[CH]N(C=C2)C)N2[CH]N(C=C2)C)cccc1</t>
  </si>
  <si>
    <t>{"audit_creation_date": "2008-09-29", "audit_creation_method": "CSD-ConQuest-V1", "database_code_CSD": "JOCRUP", "database_code_depnum_ccdc_archive": "CCDC 691470", "chemical_formula_sum": "C76 H82 Fe1 N14 O4", "chemical_formula_moiety": "", "journal_volume": "47", "journal_year": "2008", "journal_page_first": "3841", "journal_name_full": "Inorg.Chem. ", "publ_author_name": ["Jianfeng Li", "S.M.Nair", "B.C.Noll", "C.E.Schulz", "W.R.Scheidt"]}</t>
  </si>
  <si>
    <t>10.1021/ic702498c</t>
  </si>
  <si>
    <t>JOCSEA</t>
  </si>
  <si>
    <t>[Fe]123([N]4=C5C=CC4=C(c4c(NC(=O)C(C)(C)C)cccc4)c4ccc(n34)C(=C3[N]2=C(C=C3)C(=c2n1c(=C5c1ccccc1NC(=O)C(C)(C)C)cc2)c1c(cccc1)NC(=O)C(C)(C)C)c1ccccc1NC(=O)C(C)(C)C)(N1[CH]N(C=C1)C=C)N1C=CN([CH]1)C=C</t>
  </si>
  <si>
    <t>{"audit_creation_date": "2008-09-29", "audit_creation_method": "CSD-ConQuest-V1", "database_code_CSD": "JOCSEA", "database_code_depnum_ccdc_archive": "CCDC 691472", "chemical_formula_sum": "C88 H92 Fe1 N12 O4", "chemical_formula_moiety": "", "journal_volume": "47", "journal_year": "2008", "journal_page_first": "3841", "journal_name_full": "Inorg.Chem. ", "publ_author_name": ["Jianfeng Li", "S.M.Nair", "B.C.Noll", "C.E.Schulz", "W.R.Scheidt"]}</t>
  </si>
  <si>
    <t>JOLKEC</t>
  </si>
  <si>
    <t>c1cc(C2=C3C=CC4=[N]3[Zn]35(n6c(=C4c4ccccc4)ccc6=C(C4=[N]3C(=C(c3ccc2n53)c2ccccc2)C=C4)c2ccccc2)[NH2]c2ccc(cc2)OC)ccc1</t>
  </si>
  <si>
    <t>{"audit_creation_date": "2014-10-16", "audit_creation_method": "CSD-ConQuest-V1", "database_code_CSD": "JOLKEC", "database_code_depnum_ccdc_archive": "CCDC 924012", "chemical_formula_sum": "C51 H37 N5 O1 Zn1", "chemical_formula_moiety": "", "journal_volume": "84", "journal_year": "2014", "journal_page_first": "1206", "journal_name_full": "Zh.Obshch.Khim.(Russ.)(Russ.J.Gen.Chem.) ", "publ_author_name": ["P.S.Sobolev", "V.P.Andreev", "T.A.Ekimova"]}</t>
  </si>
  <si>
    <t>10.1134/s1070363214090369</t>
  </si>
  <si>
    <t>JOVROB</t>
  </si>
  <si>
    <t>[Ni@@]123[N]4=C5C(=C(C4=Cc4c(c(c(C(=C6[N]2=C(C=c2c(c(c(=C5c5c(cccc5)NC(=O)c5cccnc5)n12)C)CC)C(=C6C)CC)c1c(cccc1)NC(=O)c1cccnc1)n34)C)CC)CC)C</t>
  </si>
  <si>
    <t>{"audit_creation_date": "1993-01-14", "audit_creation_method": "CSD-ConQuest-V1", "database_code_CSD": "JOVROB", "database_code_depnum_ccdc_archive": null, "chemical_formula_sum": "C58 H54 Cl6 N8 Ni1 O2", "chemical_formula_moiety": "", "journal_volume": "31", "journal_year": "1992", "journal_page_first": "913", "journal_name_full": "Inorg.Chem. ", "publ_author_name": ["L.K.Woo", "M.R.Maurya", "R.A.Jacobson", "Shumei Yang", "S.L.Ringrose"]}</t>
  </si>
  <si>
    <t>10.1021/ic00031a038</t>
  </si>
  <si>
    <t>JUVXAB</t>
  </si>
  <si>
    <t>c1(OC)ccc(cc1)[NH2][Zn]123[N]4=C5C(=c6ccc(=C(C7=[N]3C(=C(c3ccccc3)c3ccc(C(=C4C=C5)c4ccccc4)n13)C=C7)c1ccccc1)n26)c1ccccc1</t>
  </si>
  <si>
    <t>{"audit_creation_date": "2015-12-09", "audit_creation_method": "CSD-ConQuest-V1", "database_code_CSD": "JUVXAB", "database_code_depnum_ccdc_archive": "CCDC 968549", "chemical_formula_sum": "C51 H37 N5 O1 Zn1", "chemical_formula_moiety": "", "journal_volume": "46", "journal_year": "2016", "journal_page_first": "589", "journal_name_full": "Synth.React.Inorg.,Met.-Org.,Nano-Met.Chem. ", "publ_author_name": ["J.A.Obaleye", "A.C.Tella", "G.K.Obiyenwa", "N.Simon", "M.D.Olawale"]}</t>
  </si>
  <si>
    <t>10.5059/yukigoseikyokaishi.74.374</t>
  </si>
  <si>
    <t xml:space="preserve">Synth.React.Inorg.,Met.-Org.,Nano-Met.Chem. </t>
  </si>
  <si>
    <t>JUZSUS</t>
  </si>
  <si>
    <t>C12=Cc3c(c(c4C=C5C(=C(C6=[N]5[Rh]5([N]2=C(C(=C1CC)CC)C=c1c(c(CC)c(=C6)n51)CC)(C(=O)OCC)n34)CC)CC)CC)CC</t>
  </si>
  <si>
    <t>{"audit_creation_date": "1994-02-02", "audit_creation_method": "CSD-ConQuest-V1", "database_code_CSD": "JUZSUS", "database_code_depnum_ccdc_archive": null, "chemical_formula_sum": "C39 H49 N4 O2 Rh1", "chemical_formula_moiety": "", "journal_volume": "12", "journal_year": "1993", "journal_page_first": "1161", "journal_name_full": "Organometallics ", "publ_author_name": ["R.G.Miller", "J.A.Kyle", "G.W.Coates", "D.J.Anderson", "P.E.Fanwick"]}</t>
  </si>
  <si>
    <t>10.1021/om00028a033</t>
  </si>
  <si>
    <t>KACVOB</t>
  </si>
  <si>
    <t>[N]12=C3C(=c4ccc5=C(C6=[N]7C(=C(c8ccc(C(=C1C=C3)c1ccc(C)cc1)n8[Cu@]27n45)c1ccc(cc1)C)C=C6C1=NN(C(=O)N(C)[N]1)C)c1ccc(C)cc1)c1ccc(C)cc1</t>
  </si>
  <si>
    <t>{"audit_creation_date": "2011-02-21", "audit_creation_method": "CSD-ConQuest-V1", "database_code_CSD": "KACVOB", "database_code_depnum_ccdc_archive": "CCDC 664502", "chemical_formula_sum": "C52 H41 Cu1 N8 O1", "chemical_formula_moiety": "", "journal_volume": "49", "journal_year": "2010", "journal_page_first": "3516", "journal_name_full": "Inorg.Chem. ", "publ_author_name": ["P.K.Poddutoori", "M.Pilkington", "A.Alberola", "V.Polo", "J.E.Warren", "A.van der Est"]}</t>
  </si>
  <si>
    <t>10.1021/ic1000649</t>
  </si>
  <si>
    <t>KAXZOB</t>
  </si>
  <si>
    <t>O=C1c2c3c4c(cc2)c2c(C#CC5=C6C=CC7=[N]6[Ni]68([N]9=C(C=CC9=C(c9ccc5n89)c5c(cc(C)cc5C)C)C=c5ccc(=C7c7c(cc(cc7C)C)C)n65)(N5[CH]C=CC=C5)N5[CH]C=CC=C5)cc5C(=O)N(C(=O)c6c5c2c(cc6)c4ccc3C(=O)N1C(CC)CC)C(CC)CC</t>
  </si>
  <si>
    <t>{"audit_creation_date": "2017-07-25", "audit_creation_method": "CSD-ConQuest-V1", "database_code_CSD": "KAXZOB", "database_code_depnum_ccdc_archive": "CCDC 1531300", "chemical_formula_sum": "C84 H70 N8 Ni1 O4", "chemical_formula_moiety": "", "journal_volume": "5", "journal_year": "2017", "journal_page_first": "15529", "journal_name_full": "J.Mater.Chem.A ", "publ_author_name": ["R.Mishra", "R.Regar", "Rahul Singhal", "Piyush Panini", "G.D.Sharma", "J.Sankar"]}</t>
  </si>
  <si>
    <t>10.1039/c7ta05338j</t>
  </si>
  <si>
    <t xml:space="preserve">J.Mater.Chem.A </t>
  </si>
  <si>
    <t>KECJUA</t>
  </si>
  <si>
    <t>[Ni@]123n4c5=C(c6c(F)c(F)c(F)c(c6F)F)C6=[N]3C(=C(c3c(F)c(F)c(c(F)c3F)F)c3n2c(cc3)C(=C2[N]1=C(C=C2)C(=c4cc5)O)c1c(F)c(F)c(F)c(c1F)F)C=C6</t>
  </si>
  <si>
    <t>{"audit_creation_date": "2017-07-26", "audit_creation_method": "CSD-ConQuest-V1", "database_code_CSD": "KECJUA", "database_code_depnum_ccdc_archive": "CCDC 1531865", "chemical_formula_sum": "C38 H9 F15 N4 Ni1 O1", "chemical_formula_moiety": "", "journal_volume": "23", "journal_year": "2017", "journal_page_first": "7217", "journal_name_full": "Chem.-Eur.J. ", "publ_author_name": ["C.Stahler", "D.Shimizu", "K.Yoshida", "Ko Furukawa", "R.Herges", "A.Osuka"]}</t>
  </si>
  <si>
    <t>10.1002/chem.201700692</t>
  </si>
  <si>
    <t>KEDGEG</t>
  </si>
  <si>
    <t>c1c(C2=C3C=CC4=[N]3[Rh]35(C(=O)c6ccc(cc6)F)n6c(=C4c4ccc(C)cc4)ccc6=C(c4ccc(cc4)C)C4=[N]3C(=C(c3ccc(cc3)C)c3n5c2cc3)C=C4)ccc(C)c1</t>
  </si>
  <si>
    <t>{"audit_creation_date": "2006-05-04", "audit_creation_method": "CSD-ConQuest-V1", "database_code_CSD": "KEDGEG", "database_code_depnum_ccdc_archive": "CCDC 297633", "chemical_formula_sum": "C56 H42 Cl2 F1 N4 O1 Rh1", "chemical_formula_moiety": "", "journal_volume": "25", "journal_year": "2006", "journal_page_first": "260", "journal_name_full": "Organometallics ", "publ_author_name": ["Kin Shing Chan", "Cheuk Man Lau"]}</t>
  </si>
  <si>
    <t>10.1021/om0604472</t>
  </si>
  <si>
    <t>KEFFOQ</t>
  </si>
  <si>
    <t>[Fe]123([N]4=C5C=CC4=C(c4ccc(C(=C6C=CC(=[N]26)C(=c2ccc(=C5C(C(F)(F)C(F)(F)F)(F)F)n12)C(C(C(F)(F)F)(F)F)(F)F)C(C(C(F)(F)F)(F)F)(F)F)n34)C(C(C(F)(F)F)(F)F)(F)F)(N1[CH]C=CC=C1)N1[CH]C=CC=C1</t>
  </si>
  <si>
    <t>{"audit_creation_date": "2000-06-26", "audit_creation_method": "CSD-ConQuest-V1", "database_code_CSD": "KEFFOQ", "database_code_depnum_ccdc_archive": null, "chemical_formula_sum": "C42 H18 F28 Fe1 N6", "chemical_formula_moiety": "", "journal_volume": "121", "journal_year": "1999", "journal_page_first": "5196", "journal_name_full": "J.Am.Chem.Soc. ", "publ_author_name": ["K.T.Moore", "J.T.Fletcher", "M.J.Therien"]}</t>
  </si>
  <si>
    <t>10.1021/ja9816741</t>
  </si>
  <si>
    <t>KIZSOC</t>
  </si>
  <si>
    <t>c1c(c2ccccc2)ccc([C]([Ru]234[N]5=C6C=CC5=C(c5ccc(C(=C7C=CC(=[N]37)C(=c3ccc(=C6c6ccccc6)n23)c2ccccc2)c2ccccc2)n45)c2ccccc2)c2ccc(c3ccccc3)cc2)c1</t>
  </si>
  <si>
    <t>{"audit_creation_date": "2008-09-12", "audit_creation_method": "CSD-ConQuest-V1", "database_code_CSD": "KIZSOC", "database_code_depnum_ccdc_archive": "CCDC 655422", "chemical_formula_sum": "C69 H46 N4 Ru1", "chemical_formula_moiety": "", "journal_volume": "12", "journal_year": "2008", "journal_page_first": "35", "journal_name_full": "J.Porphyrins Phthalocyanines ", "publ_author_name": ["S.Wada", "M.Shimomura", "T.Kikuchi", "H.Yuge", "T.K.Miyamoto"]}</t>
  </si>
  <si>
    <t>10.1142/s1088424608000066</t>
  </si>
  <si>
    <t>KOGQUT</t>
  </si>
  <si>
    <t>s1cc(cc1C1=C2[N]3=C(C(=c4n5[Zn@]63[N]3=C(C(=c5cc4)c4scc(Br)c4)C=CC3=C(c3n6c1cc3)c1scc(Br)c1)c1scc(Br)c1)C=C2)Br</t>
  </si>
  <si>
    <t>{"audit_creation_date": "2009-02-26", "audit_creation_method": "CSD-ConQuest-V1", "database_code_CSD": "KOGQUT", "database_code_depnum_ccdc_archive": "CCDC 628481", "chemical_formula_sum": "C36 H16 Br4 N4 S4 Zn1", "chemical_formula_moiety": "", "journal_volume": "11", "journal_year": "2008", "journal_page_first": "1019", "journal_name_full": "Inorg.Chem.Commun. ", "publ_author_name": ["M.Ghazzali", "L.Ohrstrom", "M.A.M.Abu-Youssef", "K.Larsson", "O.Hansson", "A.Amer", "T.Tamm", "L.Ohrstrom"]}</t>
  </si>
  <si>
    <t>10.1039/b713463k</t>
  </si>
  <si>
    <t>KOXRUM</t>
  </si>
  <si>
    <t>c1(ccccc1)C1=C(c2ccccc2)C2=[N]3[Ni@@]45n6c(=C2c2ccccc2)ccc6=C(C2=[N]4C(=C(c4n5c(cc4)C(=C13)c1ccccc1)c1ccccc1)C(=C2)c1ccccc1)c1ccccc1</t>
  </si>
  <si>
    <t>{"audit_creation_date": "2014-11-30", "audit_creation_method": "CSD-ConQuest-V1", "database_code_CSD": "KOXRUM", "database_code_depnum_ccdc_archive": "CCDC 1015207", "chemical_formula_sum": "C62 H40 N4 Ni1", "chemical_formula_moiety": "", "journal_volume": "87", "journal_year": "2015", "journal_page_first": "170", "journal_name_full": "Polyhedron ", "publ_author_name": ["V.Velkannan", "P.Bhyrappa"]}</t>
  </si>
  <si>
    <t>10.1016/j.poly.2014.10.033</t>
  </si>
  <si>
    <t>KOXSAT</t>
  </si>
  <si>
    <t>Cc1c2=C(C3=[N]4C(=C(c5c(c(c6ccccc6)c6n5[Ni@@]54n2c(=C(C2=[N]5C(=C6c4ccccc4)C(=C2C)C)c2ccccc2)c1c1ccccc1)c1ccccc1)c1ccccc1)C(=C3C)C)c1ccccc1</t>
  </si>
  <si>
    <t>{"audit_creation_date": "2014-11-30", "audit_creation_method": "CSD-ConQuest-V1", "database_code_CSD": "KOXSAT", "database_code_depnum_ccdc_archive": "CCDC 1015208", "chemical_formula_sum": "C141 H108 N8 Ni2", "chemical_formula_moiety": "", "journal_volume": "87", "journal_year": "2015", "journal_page_first": "170", "journal_name_full": "Polyhedron ", "publ_author_name": ["V.Velkannan", "P.Bhyrappa"]}</t>
  </si>
  <si>
    <t>KUDLEB</t>
  </si>
  <si>
    <t>C(F)(F)(F)c1cc([N][Ru]234([N]5=C6C(=c7ccc(=C(C8=[N]3C(=C(c3ccc(C(=C5C=C6)c5ccccc5)n23)c2ccccc2)C=C8)c2ccccc2)n47)c2ccccc2)[N]c2cc(cc(c2)C(F)(F)F)C(F)(F)F)cc(C(F)(F)F)c1</t>
  </si>
  <si>
    <t>{"audit_creation_date": "2010-04-08", "audit_creation_method": "CSD-ConQuest-V1", "database_code_CSD": "KUDLEB", "database_code_depnum_ccdc_archive": "CCDC 720709", "chemical_formula_sum": "C60 H34 F12 N6 Ru1", "chemical_formula_moiety": "", "journal_volume": null, "journal_year": "2009", "journal_page_first": "3952", "journal_name_full": "Chem.Commun. ", "publ_author_name": ["S.Fantauzzi", "E.Gallo", "A.Caselli", "F.Rgaini", "N.Casati", "P.Macchi", "S.Cenini"]}</t>
  </si>
  <si>
    <t>10.1039/b903238j</t>
  </si>
  <si>
    <t>LARKEV</t>
  </si>
  <si>
    <t>[Co]123(/C=C/Cl)n4c5ccc4C(=C4C=CC(=[N]14)C(=c1ccc(=C(C4=[N]3C(=C5c3ccccc3)C=C4)c3ccccc3)n21)c1ccccc1)c1ccccc1</t>
  </si>
  <si>
    <t>{"audit_creation_date": "2005-12-01", "audit_creation_method": "CSD-ConQuest-V1", "database_code_CSD": "LARKEV", "database_code_depnum_ccdc_archive": "CCDC 280830", "chemical_formula_sum": "C46 H30 Cl1 Co1 N4", "chemical_formula_moiety": "", "journal_volume": "44", "journal_year": "2005", "journal_page_first": "4852", "journal_name_full": "Inorg.Chem. ", "publ_author_name": ["J.M.Fritsch", "K.McNeill"]}</t>
  </si>
  <si>
    <t>10.1021/ic0504339</t>
  </si>
  <si>
    <t>LAXBER</t>
  </si>
  <si>
    <t>C12=[N]3[Rh]45(C(=O)Nc6c(cccc6C)C)n6c(=C2)c(CC)c(c6=CC2=[N]5C(=Cc5c(c(c(n45)C=C3C(=C1CC)CC)CC)CC)C(=C2CC)CC)CC</t>
  </si>
  <si>
    <t>{"audit_creation_date": "1994-04-11", "audit_creation_method": "CSD-ConQuest-V1", "database_code_CSD": "LAXBER", "database_code_depnum_ccdc_archive": null, "chemical_formula_sum": "C45 H54 N5 O1 Rh1", "chemical_formula_moiety": "", "journal_volume": "12", "journal_year": "1993", "journal_page_first": "3410", "journal_name_full": "Organometallics ", "publ_author_name": ["G.Poszmik", "P.J.Carroll", "B.B.Wayland"]}</t>
  </si>
  <si>
    <t>10.1021/om00033a010</t>
  </si>
  <si>
    <t>LAXCES</t>
  </si>
  <si>
    <t>[Sc]123(n4c5=CC6=[N]3C(=Cc3c(c(c(C=C7C(=C(C(=[N]17)C=c4c(c5CC)CC)CC)CC)n23)CC)CC)C(=C6CC)CC)C</t>
  </si>
  <si>
    <t>{"audit_creation_date": "1994-04-11", "audit_creation_method": "CSD-ConQuest-V1", "database_code_CSD": "LAXCES", "database_code_depnum_ccdc_archive": null, "chemical_formula_sum": "C38.5 H50 Cl3 N4 Sc1", "chemical_formula_moiety": "", "journal_volume": "12", "journal_year": "1993", "journal_page_first": "3645", "journal_name_full": "Organometallics ", "publ_author_name": ["J.Arnold", "C.G.Hoffman", "D.Y.Dawson", "F.J.Hollander"]}</t>
  </si>
  <si>
    <t>10.1021/om00033a042</t>
  </si>
  <si>
    <t>LAXCOC</t>
  </si>
  <si>
    <t>[Sc]123([C@@H]4C=Cc5ccccc45)[N]4=C5C=c6c(c(c(=CC7=[N]2C(=Cc2n1c(C=C4C(=C5CC)CC)c(CC)c2CC)C(=C7CC)CC)n36)CC)CC</t>
  </si>
  <si>
    <t>{"audit_creation_date": "1994-04-11", "audit_creation_method": "CSD-ConQuest-V1", "database_code_CSD": "LAXCOC", "database_code_depnum_ccdc_archive": null, "chemical_formula_sum": "C45 H51 N4 Sc1", "chemical_formula_moiety": "", "journal_volume": "12", "journal_year": "1993", "journal_page_first": "3645", "journal_name_full": "Organometallics ", "publ_author_name": ["J.Arnold", "C.G.Hoffman", "D.Y.Dawson", "F.J.Hollander"]}</t>
  </si>
  <si>
    <t>LAXDAP</t>
  </si>
  <si>
    <t>[Zr]123([N]4=C5C=c6c(c(c(=CC7=[N]2C(=Cc2c(c(c(C=C4C(=C5CC)CC)n32)CC)CC)C(=C7CC)CC)n16)CC)CC)(Cl)Cl</t>
  </si>
  <si>
    <t>{"audit_creation_date": "1994-04-10", "audit_creation_method": "CSD-ConQuest-V1", "database_code_CSD": "LAXDAP", "database_code_depnum_ccdc_archive": "CCDC 1204125", "chemical_formula_sum": "C39.5 H48 Cl2 N4 Zr1", "chemical_formula_moiety": "", "journal_volume": "12", "journal_year": "1993", "journal_page_first": "3655", "journal_name_full": "Organometallics ", "publ_author_name": ["H.Brand", "J.Arnold"]}</t>
  </si>
  <si>
    <t>10.1021/om00033a043</t>
  </si>
  <si>
    <t>LAXDIX</t>
  </si>
  <si>
    <t>[Zr]123(C)(C)n4c5=CC6=[N]3C(=Cc3n2c(C=C2C(=C(C(=[N]12)C=c4c(c5CC)CC)CC)CC)c(c3CC)CC)C(=C6CC)CC</t>
  </si>
  <si>
    <t>{"audit_creation_date": "1994-04-11", "audit_creation_method": "CSD-ConQuest-V1", "database_code_CSD": "LAXDIX", "database_code_depnum_ccdc_archive": null, "chemical_formula_sum": "C39 H52 Cl2 N4 Zr1", "chemical_formula_moiety": "", "journal_volume": "12", "journal_year": "1993", "journal_page_first": "3655", "journal_name_full": "Organometallics ", "publ_author_name": ["H.Brand", "J.Arnold"]}</t>
  </si>
  <si>
    <t>LEFWOJ</t>
  </si>
  <si>
    <t>[Mn]123([N]4=C5C=CC4=C(c4n3c(C(=C3C=CC(=[N]23)C(=c2ccc(=C5c3ccccc3)n12)c1ccccc1)c1ccccc1)cc4)c1ccccc1)([N][O])N1C=CN([CH]1)C</t>
  </si>
  <si>
    <t>{"audit_creation_date": "2006-07-10", "audit_creation_method": "CSD-ConQuest-V1", "database_code_CSD": "LEFWOJ", "database_code_depnum_ccdc_archive": "CCDC 278504", "chemical_formula_sum": "C65.5 H54 Mn1 N7 O1", "chemical_formula_moiety": "", "journal_volume": "45", "journal_year": "2006", "journal_page_first": "2661", "journal_name_full": "Inorg.Chem. ", "publ_author_name": ["Z.N.Zahran", "M.J.Shaw", "M.A.Khan", "G.B.Richter-Addo"]}</t>
  </si>
  <si>
    <t>10.1021/ic051190n</t>
  </si>
  <si>
    <t>LEHSOI</t>
  </si>
  <si>
    <t>[Co]123([N]4=C5C=CC4=C(c4ccc(C(=C6C=CC(=[N]26)C(=c2ccc(=C5c5ccccc5)n12)c1ccccc1)c1ccccc1)n34)c1ccccc1)(N1[CH]C=CC=C1)Cl</t>
  </si>
  <si>
    <t>{"audit_creation_date": "2012-09-04", "audit_creation_method": "CSD-ConQuest-V1", "database_code_CSD": "LEHSOI", "database_code_depnum_ccdc_archive": "CCDC 896576", "chemical_formula_sum": "C49.5 H33.5 Cl2.5 Co1 N5", "chemical_formula_moiety": "", "journal_volume": "68", "journal_year": "2012", "journal_page_first": "m1104", "journal_name_full": "Acta Crystallogr.,Sect.E:Struct.Rep.Online ", "publ_author_name": ["Y.Belghith", "J.-C.Daran", "H.Nasri"]}</t>
  </si>
  <si>
    <t>10.1107/s1600536812032564</t>
  </si>
  <si>
    <t>LEZLAD</t>
  </si>
  <si>
    <t>c1(ccc(cc1)C)C1=c2ccc3=C(C4=[N]5[Rh]6(C(c7ccccc7)(C)C)([N]7=C1C=CC7=C(c1ccc(cc1)C)c1n6c(C(=C5C=C4)c4ccc(cc4)C)cc1)n23)c1ccc(cc1)C</t>
  </si>
  <si>
    <t>{"audit_creation_date": "2000-04-27", "audit_creation_method": "CSD-ConQuest-V1", "database_code_CSD": "LEZLAD", "database_code_depnum_ccdc_archive": "CCDC 111997", "chemical_formula_sum": "C56.5 H45.5 Cl1.5 N4 Rh1", "chemical_formula_moiety": "", "journal_volume": null, "journal_year": "1999", "journal_page_first": "3333", "journal_name_full": "J.Chem.Soc.,Dalton Trans. ", "publ_author_name": ["Kin Wah Mak", "Feng Xue", "T.C.W.Mak", "Kin Shing Chan"]}</t>
  </si>
  <si>
    <t>10.1039/a904737i</t>
  </si>
  <si>
    <t>LIBCEE</t>
  </si>
  <si>
    <t>C(C)C1=C(CC)C2=Cc3c(c(c4C=C5C(=C(C6=[N]5[Co]5(n7c(=C6)c(c(c7=CC1=[N]25)CC)CC)(C)(n34)N1[CH]C=CC=C1)CC)CC)CC)CC</t>
  </si>
  <si>
    <t>{"audit_creation_date": "1995-03-06", "audit_creation_method": "CSD-ConQuest-V1", "database_code_CSD": "LIBCEE", "database_code_depnum_ccdc_archive": "CCDC 1206574", "chemical_formula_sum": "C42 H52 Co1 N5", "chemical_formula_moiety": "", "journal_volume": "116", "journal_year": "1994", "journal_page_first": "7189", "journal_name_full": "J.Am.Chem.Soc. ", "publ_author_name": ["J.S.Summers", "J.L.Petersen", "A.M.Stolzenberg"]}</t>
  </si>
  <si>
    <t>10.1021/ja00095a022</t>
  </si>
  <si>
    <t>LIRFOJ</t>
  </si>
  <si>
    <t>C12=C(c3ccc4C(=C5C=CC6=[N]5[Ni@@]5([N]2=C(C=C1)C(=c1ccc(=C6c2cc(cc(c2)C(C)(C)C)C(C)(C)C)n51)c1cc(cc(c1)C(C)(C)C)C(C)(C)C)n34)c1cc(cc(c1)C(C)(C)C)C(C)(C)C)N1c2c(cccc2)Oc2c1cccc2</t>
  </si>
  <si>
    <t>{"audit_creation_date": "2013-10-16", "audit_creation_method": "CSD-ConQuest-V1", "database_code_CSD": "LIRFOJ", "database_code_depnum_ccdc_archive": "CCDC 941016", "chemical_formula_sum": "C78 H87 Cl4 N5 Ni1 O1", "chemical_formula_moiety": "", "journal_volume": "52", "journal_year": "2013", "journal_page_first": "9728", "journal_name_full": "Angew.Chem.,Int.Ed. ", "publ_author_name": ["N.Fukui", "W.-Y.Cha", "S.Lee", "S.Tokuji", "D.Kim", "H.Yorimitsu", "A.Osuka"]}</t>
  </si>
  <si>
    <t>10.1002/anie.201304794</t>
  </si>
  <si>
    <t>LIYDEC</t>
  </si>
  <si>
    <t>CCc1c2C(=C3C(=C(CC)C4=[N]3[Zn]35(N6[CH]NC=C6)[N]6=C(C(=C(C6=C(N(=O)=O)c(c1CC)n25)CC)CC)C(=c1c(CC)c(CC)c(=C4N(=O)=O)n31)N(=O)=O)CC)N(=O)=O</t>
  </si>
  <si>
    <t>{"audit_creation_date": "2000-08-04", "audit_creation_method": "CSD-ConQuest-V1", "database_code_CSD": "LIYDEC", "database_code_depnum_ccdc_archive": "CCDC 100506", "chemical_formula_sum": "C39 H44 N10 O8 Zn1", "chemical_formula_moiety": "", "journal_volume": "2", "journal_year": "1998", "journal_page_first": "107", "journal_name_full": "J.Porphyrins Phthalocyanines ", "publ_author_name": ["M.O.Senge"]}</t>
  </si>
  <si>
    <t>10.1002/(sici)1099-1409(199803/04)2:2&lt;107::aid-jpp57&gt;3.3.co;2-k</t>
  </si>
  <si>
    <t>LIYDOM</t>
  </si>
  <si>
    <t>[Zn]123(N4C=CN[C]4C)n4c5=C(C6=[N]3C(=C(c3c(c(c(C(=C7C(=C(C(=[N]17)C(=c4c(c5CC)CC)N(=O)=O)CC)CC)N(=O)=O)n23)CC)CC)N(=O)=O)C(=C6CC)CC)N(=O)=O</t>
  </si>
  <si>
    <t>{"audit_creation_date": "2000-08-04", "audit_creation_method": "CSD-ConQuest-V1", "database_code_CSD": "LIYDOM", "database_code_depnum_ccdc_archive": "CCDC 115464 100506", "chemical_formula_sum": "C40 H46 N10 O8 Zn1", "chemical_formula_moiety": "", "journal_volume": "2", "journal_year": "1998", "journal_page_first": "107", "journal_name_full": "J.Porphyrins Phthalocyanines ", "publ_author_name": ["M.O.Senge"]}</t>
  </si>
  <si>
    <t>LIYDUS</t>
  </si>
  <si>
    <t>[Zn]123(N4C(=CN[CH]4)C)[N]4=C5C(=c6c(CC)c(c(=C(C7=[N]1C(=C(N(=O)=O)c1c(CC)c(CC)c(C(=C4C(=C5CC)CC)N(=O)=O)n31)C(=C7CC)CC)N(=O)=O)n26)CC)N(=O)=O</t>
  </si>
  <si>
    <t>{"audit_creation_date": "2000-08-04", "audit_creation_method": "CSD-ConQuest-V1", "database_code_CSD": "LIYDUS", "database_code_depnum_ccdc_archive": "CCDC 115465 100506", "chemical_formula_sum": "C42 H54 N10 O10 Zn1", "chemical_formula_moiety": "", "journal_volume": "2", "journal_year": "1998", "journal_page_first": "107", "journal_name_full": "J.Porphyrins Phthalocyanines ", "publ_author_name": ["M.O.Senge"]}</t>
  </si>
  <si>
    <t>LIYFAA</t>
  </si>
  <si>
    <t>[Zn]123(N4[CH]C(=CC(=C4)C)C)[N]4=C5C(=C(CC)C4=C(c4c(c(c(C(=C6C(=C(C(=[N]26)C(=c2c(c(c(=C5N(=O)=O)n12)CC)CC)N(=O)=O)CC)CC)N(=O)=O)n34)CC)CC)N(=O)=O)CC</t>
  </si>
  <si>
    <t>{"audit_creation_date": "2000-08-04", "audit_creation_method": "CSD-ConQuest-V1", "database_code_CSD": "LIYFAA", "database_code_depnum_ccdc_archive": "CCDC 115466 100506", "chemical_formula_sum": "C43 H49 N9 O8 Zn1", "chemical_formula_moiety": "", "journal_volume": "2", "journal_year": "1998", "journal_page_first": "107", "journal_name_full": "J.Porphyrins Phthalocyanines ", "publ_author_name": ["M.O.Senge"]}</t>
  </si>
  <si>
    <t>LIYFOO</t>
  </si>
  <si>
    <t>[Ni]123(n4c5c(CC)c(CC)c4C(=C4[N]1=C(C(=C4CC)CC)C(=c1c(c(c(=C(N(=O)=O)C4=[N]3C(=C5N(=O)=O)C(=C4CC)CC)n21)CC)CC)N(=O)=O)N(=O)=O)(N1[CH]C=CC=C1)N1[CH]C=CC=C1</t>
  </si>
  <si>
    <t>{"audit_creation_date": "2000-08-04", "audit_creation_method": "CSD-ConQuest-V1", "database_code_CSD": "LIYFOO", "database_code_depnum_ccdc_archive": "CCDC 115469 100506", "chemical_formula_sum": "C51 H55 N11 Ni1 O8", "chemical_formula_moiety": "", "journal_volume": "2", "journal_year": "1998", "journal_page_first": "107", "journal_name_full": "J.Porphyrins Phthalocyanines ", "publ_author_name": ["M.O.Senge"]}</t>
  </si>
  <si>
    <t>LODRAX</t>
  </si>
  <si>
    <t>[Zn@]123n4c5=C(C6=[N]1C(=C(c1ccc(C(=C7C=CC(=[N]27)C(=c4cc5)c2ccccc2)Cc2cc(ccc2OC)OC)n31)c1ccccc1)C=C6)c1ccccc1</t>
  </si>
  <si>
    <t>{"audit_creation_date": "2000-08-29", "audit_creation_method": "CSD-ConQuest-V1", "database_code_CSD": "LODRAX", "database_code_depnum_ccdc_archive": "CCDC 119683", "chemical_formula_sum": "C47 H34 N4 O2 Zn1", "chemical_formula_moiety": "", "journal_volume": "70", "journal_year": "1999", "journal_page_first": "206", "journal_name_full": "Photochem.Photobiol. ", "publ_author_name": ["M.O.Senge", "M.Speck", "A.Wiehe", "H.Dieks", "S.Aguirre", "H.Kurreck"]}</t>
  </si>
  <si>
    <t>10.1111/j.1751-1097.1999.tb07991.x</t>
  </si>
  <si>
    <t xml:space="preserve">Photochem.Photobiol. </t>
  </si>
  <si>
    <t>LODSAY</t>
  </si>
  <si>
    <t>[CH]1C=CC=CN1[Zn]123[N]4=C5C=CC4=C(c4ccc(C(=C6[N]1=C(C=C6)C(=c1ccc(=C5c5cc(OC)c(cc5)OC)n31)c1ccccc1)c1ccccc1)n24)c1ccccc1</t>
  </si>
  <si>
    <t>{"audit_creation_date": "2000-08-29", "audit_creation_method": "CSD-ConQuest-V1", "database_code_CSD": "LODSAY", "database_code_depnum_ccdc_archive": "CCDC 119688", "chemical_formula_sum": "C51 H37 N5 O2 Zn1", "chemical_formula_moiety": "", "journal_volume": "70", "journal_year": "1999", "journal_page_first": "206", "journal_name_full": "Photochem.Photobiol. ", "publ_author_name": ["M.O.Senge", "M.Speck", "A.Wiehe", "H.Dieks", "S.Aguirre", "H.Kurreck"]}</t>
  </si>
  <si>
    <t>LODSEC</t>
  </si>
  <si>
    <t>[Zn@@]123n4c5=C(C6=[N]3C(=C(c3ccc(C(=C7C=CC(=[N]17)C(=c4cc5)c1ccccc1)c1ccccc1)n23)c1cccc2c1c(c(c1ccccc21)OC)OC)C=C6)c1ccccc1</t>
  </si>
  <si>
    <t>{"audit_creation_date": "2000-08-29", "audit_creation_method": "CSD-ConQuest-V1", "database_code_CSD": "LODSEC", "database_code_depnum_ccdc_archive": "CCDC 119689", "chemical_formula_sum": "C55 H37 Cl3 N4 O2 Zn1", "chemical_formula_moiety": "", "journal_volume": "70", "journal_year": "1999", "journal_page_first": "206", "journal_name_full": "Photochem.Photobiol. ", "publ_author_name": ["M.O.Senge", "M.Speck", "A.Wiehe", "H.Dieks", "S.Aguirre", "H.Kurreck"]}</t>
  </si>
  <si>
    <t>LODSIG</t>
  </si>
  <si>
    <t>[CH]1C=CC=CN1[Zn]123[N]4=C5C=CC4=C(c4ccc(C(=C6C=CC(=[N]26)C(=c2ccc(=C5Cc5cc(ccc5OC)OC)n12)c1ccccc1)c1ccccc1)n34)c1ccccc1</t>
  </si>
  <si>
    <t>{"audit_creation_date": "2000-08-29", "audit_creation_method": "CSD-ConQuest-V1", "database_code_CSD": "LODSIG", "database_code_depnum_ccdc_archive": "CCDC 119690", "chemical_formula_sum": "C52 H39 N5 O2 Zn1", "chemical_formula_moiety": "", "journal_volume": "70", "journal_year": "1999", "journal_page_first": "206", "journal_name_full": "Photochem.Photobiol. ", "publ_author_name": ["M.O.Senge", "M.Speck", "A.Wiehe", "H.Dieks", "S.Aguirre", "H.Kurreck"]}</t>
  </si>
  <si>
    <t>LOKNAC</t>
  </si>
  <si>
    <t>n12[Ru]34([N]5=C6C(=c2ccc1=C(C1=[N]4C(=C(c2c(cc(cc2C)C)C)c2n3c(C(=C5C=C6)c3c(cc(C)cc3C)C)cc2)C=C1)c1c(C)cc(cc1C)C)c1c(cc(cc1C)C)C)([N]c1ccc(cc1)c1ccc(OC)cc1)[N]c1ccc(cc1)c1ccc(cc1)OC</t>
  </si>
  <si>
    <t>{"audit_creation_date": "2014-07-26", "audit_creation_method": "CSD-ConQuest-V1", "database_code_CSD": "LOKNAC", "database_code_depnum_ccdc_archive": "CCDC 795707", "chemical_formula_sum": "C86 H84 N6 O3 Ru1", "chemical_formula_moiety": "", "journal_volume": "20", "journal_year": "2014", "journal_page_first": "11035", "journal_name_full": "Chem.-Eur.J. ", "publ_author_name": ["S.-M.Law", "Daqing Chen", "Sharon Lai-Fung Chan", "Xiangguo Guan", "Wai-Man Tsui", "Jie-Sheng Huang", "Nianyong Zhu", "Chi-Ming Che"]}</t>
  </si>
  <si>
    <t>10.1002/chem.201305084</t>
  </si>
  <si>
    <t>LOPCAW</t>
  </si>
  <si>
    <t>[Ni@@]123n4c5=C(c6ccc(C)cc6)C6=[N]1C(=C(N=[N]=[N])c1n2c(C(=C2C=CC(=[N]32)C(=c4cc5)c2ccccc2)c2ccc(C)cc2)cc1)C=C6</t>
  </si>
  <si>
    <t>{"audit_creation_date": "2014-07-30", "audit_creation_method": "CSD-ConQuest-V1", "database_code_CSD": "LOPCAW", "database_code_depnum_ccdc_archive": "CCDC 1016993", "chemical_formula_sum": "C40 H27 N7 Ni1", "chemical_formula_moiety": "", "journal_volume": "79", "journal_year": "2014", "journal_page_first": "6424", "journal_name_full": "J.Org.Chem. ", "publ_author_name": ["C.H.Devillers", "S.Hebie", "D.Lucas", "H.Cattey", "S.Clement", "S.Richeter"]}</t>
  </si>
  <si>
    <t>10.1021/jo5005586</t>
  </si>
  <si>
    <t>LOSGAB</t>
  </si>
  <si>
    <t>[Rh]123(C)[N]4=C5C(=C(C4=C(c4c(c(c(C(=C6C(=C(C(=[N]26)C(=c2c(c(c(=C5c5c(c(c(c(c5F)F)F)F)F)n12)F)F)c1c(c(c(c(c1F)F)F)F)F)F)F)c1c(c(c(c(c1F)F)F)F)F)n34)F)F)c1c(c(F)c(c(c1F)F)F)F)F)F</t>
  </si>
  <si>
    <t>{"audit_creation_date": "2001-02-12", "audit_creation_method": "CSD-ConQuest-V1", "database_code_CSD": "LOSGAB", "database_code_depnum_ccdc_archive": "CCDC 150881", "chemical_formula_sum": "C62.5 H23 F28 N4 Rh1", "chemical_formula_moiety": "", "journal_volume": "122", "journal_year": "2000", "journal_page_first": "8569", "journal_name_full": "J.Am.Chem.Soc. ", "publ_author_name": ["A.P.Nelson", "S.G.DiMagno"]}</t>
  </si>
  <si>
    <t>10.1021/ja001380r</t>
  </si>
  <si>
    <t>LUZYEK</t>
  </si>
  <si>
    <t>c12=C(C3=[N]4C(=C(c5ccc6C(=C7C=CC8=[N]7[Ni@@]4(n2c(=C8c2ccccc2)c(c1C#C[Si](C)(C)C)C#C[Si](C)(C)C)n56)c1ccccc1)c1ccccc1)C=C3)c1ccccc1</t>
  </si>
  <si>
    <t>{"audit_creation_date": "2003-07-08", "audit_creation_method": "CSD-ConQuest-V1", "database_code_CSD": "LUZYEK", "database_code_depnum_ccdc_archive": "CCDC 200684", "chemical_formula_sum": "C56.5 H47.2 Cl1.4 N4 Ni1 Si2", "chemical_formula_moiety": "", "journal_volume": null, "journal_year": "2003", "journal_page_first": "858", "journal_name_full": "Chem.Commun. ", "publ_author_name": ["M.Nath", "J.C.Huffman", "J.M.Zaleski"]}</t>
  </si>
  <si>
    <t>10.1039/b212923j</t>
  </si>
  <si>
    <t>MAJMOD</t>
  </si>
  <si>
    <t>C1=CC2=[N]3[Zn@@]45n6c(=C2CCCC)ccc6=C(C2=[N]4C(=C(c4cc([Si](C)(O[Si](C)(C)C)O[Si](C)(C)C)c(C(=C13)Br)n54)CCCC)C=C2)CC(=O)OCC</t>
  </si>
  <si>
    <t>{"audit_creation_date": "2020-12-08", "audit_creation_method": "CSD-ConQuest-V1", "database_code_CSD": "MAJMOD", "database_code_depnum_ccdc_archive": "CCDC 2035888", "chemical_formula_sum": "C39 H53 Br1 N4 O4 Si3 Zn1", "chemical_formula_moiety": "", "journal_volume": "18", "journal_year": "2020", "journal_page_first": "9791", "journal_name_full": "Org.Biomol.Chem. ", "publ_author_name": ["S.Hayashi", "R.Takamatsu", "S.Takeda", "M.Noji", "T.Takanami"]}</t>
  </si>
  <si>
    <t>10.1039/d0ob02262d</t>
  </si>
  <si>
    <t xml:space="preserve">Org.Biomol.Chem. </t>
  </si>
  <si>
    <t>MAJVEA</t>
  </si>
  <si>
    <t>C1=CC2=[N]3[Rh]45(Cc6ccc(cc6)F)n6c(=C2c2ccc(cc2)C)ccc6=C(C2=[N]4C(=C(c4n5c(C(=C13)c1ccc(cc1)C)cc4)c1ccc(cc1)C)C=C2)c1ccc(cc1)C</t>
  </si>
  <si>
    <t>{"audit_creation_date": "2011-08-04", "audit_creation_method": "CSD-ConQuest-V1", "database_code_CSD": "MAJVEA", "database_code_depnum_ccdc_archive": "CCDC 802560", "chemical_formula_sum": "C55 H42 F1 N4 Rh1", "chemical_formula_moiety": "", "journal_volume": "29", "journal_year": "2010", "journal_page_first": "624", "journal_name_full": "Organometallics ", "publ_author_name": ["Kwong Shing Choi", "Peng Fai Chiu", "Kin Shing Chan"]}</t>
  </si>
  <si>
    <t>10.1021/om9009119</t>
  </si>
  <si>
    <t>MAXGIE</t>
  </si>
  <si>
    <t>c1cc(C2=C3[N]4=C(C=C3)C(=c3n5[Fe]64([C](Cl)Cl)[N]4=C(C(=c5cc3)c3ccccc3)C=CC4=C(c3ccccc3)c3n6c2cc3)c2ccccc2)ccc1</t>
  </si>
  <si>
    <t>{"audit_creation_date": "2017-04-27", "audit_creation_method": "CSD-ConQuest-V1", "database_code_CSD": "MAXGIE", "database_code_depnum_ccdc_archive": "CCDC 1546583", "chemical_formula_sum": "C45 H28 Cl2 Fe1 N4", "chemical_formula_moiety": "", "journal_volume": "139", "journal_year": "2017", "journal_page_first": "5023", "journal_name_full": "J.Am.Chem.Soc. ", "publ_author_name": ["Yulong Liu", "Wei Xu", "Jing Zhang", "W.Fuller", "C.E.Schulz", "Jianfeng Li"]}</t>
  </si>
  <si>
    <t>10.1021/jacs.7b01722</t>
  </si>
  <si>
    <t>MAXTUE</t>
  </si>
  <si>
    <t>C(#C)C1=C2C=CC3=[N]2[Ni@@]24[N]5=C(C=CC5=C(c5ccccc5)c5n2c1cc5)C=c1ccc(=C3c2ccccc2)n41</t>
  </si>
  <si>
    <t>{"audit_creation_date": "2022-01-21", "audit_creation_method": "CSD-ConQuest-V1", "database_code_CSD": "MAXTUE", "database_code_depnum_ccdc_archive": "CCDC 2069452", "chemical_formula_sum": "C34 H20 N4 Ni1", "chemical_formula_moiety": "", "journal_volume": "17", "journal_year": "2021", "journal_page_first": "1149", "journal_name_full": "Beilstein J.Org.Chem. ", "publ_author_name": ["K.J.Flanagan", "Maximilian Paradiz Dominguez", "Z.Melissari", "H.-G.Eckhardt", "R.M.Williams", "D.Gibbons", "C.Prior", "G.M.Locke", "A.Meindl", "A.A.Ryan", "M.O.Senge"]}</t>
  </si>
  <si>
    <t>10.3762/bjoc.17.88</t>
  </si>
  <si>
    <t xml:space="preserve">Beilstein J.Org.Chem. </t>
  </si>
  <si>
    <t>MAXVUG</t>
  </si>
  <si>
    <t>C(CCCCC)C1=C2C=CC3=[N]2[Ni@]24n5c1ccc5C(=C1C=CC(=[N]41)C(=c1ccc(=C3Br)n21)CCCCCC)c1ccccc1</t>
  </si>
  <si>
    <t>{"audit_creation_date": "2022-01-21", "audit_creation_method": "CSD-ConQuest-V1", "database_code_CSD": "MAXVUG", "database_code_depnum_ccdc_archive": "CCDC 2069457", "chemical_formula_sum": "C38 H39 Br1 N4 Ni1", "chemical_formula_moiety": "", "journal_volume": "17", "journal_year": "2021", "journal_page_first": "1149", "journal_name_full": "Beilstein J.Org.Chem. ", "publ_author_name": ["K.J.Flanagan", "Maximilian Paradiz Dominguez", "Z.Melissari", "H.-G.Eckhardt", "R.M.Williams", "D.Gibbons", "C.Prior", "G.M.Locke", "A.Meindl", "A.A.Ryan", "M.O.Senge"]}</t>
  </si>
  <si>
    <t>MEKTOL</t>
  </si>
  <si>
    <t>[Re]123(n4c5ccc4C(=C4[N]1=C(C(=c1ccc(=C(C6=[N]3C(=C5c3ccccc3)C=C6)c3ccccc3)n21)c1ccccc1)C=C4)c1ccccc1)([O])O[Re]([O])([O])[O]</t>
  </si>
  <si>
    <t>{"audit_creation_date": "2000-10-25", "audit_creation_method": "CSD-ConQuest-V1", "database_code_CSD": "MEKTOL", "database_code_depnum_ccdc_archive": "CCDC 137681", "chemical_formula_sum": "C45 H29 Cl3 N4 O5 Re2", "chemical_formula_moiety": "", "journal_volume": "626", "journal_year": "2000", "journal_page_first": "985", "journal_name_full": "Z.Anorg.Allg.Chem. ", "publ_author_name": ["M.Goldner", "L.Galich", "U.Cornelissen", "H.Homborg"]}</t>
  </si>
  <si>
    <t>10.1002/1521-3749(200011)626:11&lt;&gt;1.0.co;2-w</t>
  </si>
  <si>
    <t xml:space="preserve">Z.Anorg.Allg.Chem. </t>
  </si>
  <si>
    <t>MERPOP</t>
  </si>
  <si>
    <t>[Rh]123(C#N)(n4c5=C(C6=[N]3C(=C(c3ccc(C(=C7C=CC(=[N]17)C(=c4cc5)c1c(cc(cc1C)C)C)c1c(cc(cc1C)C)C)n23)c1c(cc(cc1C)C)C)C=C6)c1c(cc(cc1C)C)C)N1[CH]C=CC=C1</t>
  </si>
  <si>
    <t>{"audit_creation_date": "2007-02-13", "audit_creation_method": "CSD-ConQuest-V1", "database_code_CSD": "MERPOP", "database_code_depnum_ccdc_archive": "CCDC 630310", "chemical_formula_sum": "C62 H57 N6 Rh1", "chemical_formula_moiety": "", "journal_volume": "25", "journal_year": "2006", "journal_page_first": "5381", "journal_name_full": "Organometallics ", "publ_author_name": ["Lirong Zhang", "Chun Wah Fung", "Kin Shing Chan"]}</t>
  </si>
  <si>
    <t>10.1021/om0605276</t>
  </si>
  <si>
    <t>MEWDAX</t>
  </si>
  <si>
    <t>c1(c(cc(cc1C)C)C)c1ccc(C2=C3C=CC4=[N]3[Zn@@]35n6c2ccc6C(=C2[N]3=C(C(=c3ccc(=C4c4ccc(cc4)N(=O)=O)n53)c3ccc(c4c(C)cc(cc4C)C)cc3)C=C2)c2ccc(OC)cc2)cc1</t>
  </si>
  <si>
    <t>{"audit_creation_date": "2022-10-16", "audit_creation_method": "CSD-ConQuest-V1", "database_code_CSD": "MEWDAX", "database_code_depnum_ccdc_archive": "CCDC 2089730", "chemical_formula_sum": "C63 H49 N5 O3 Zn1", "chemical_formula_moiety": "", "journal_volume": "25", "journal_year": "2021", "journal_page_first": "1039", "journal_name_full": "J.Porphyrins Phthalocyanines ", "publ_author_name": ["T.Ishizuka", "Y.Saegusa", "T.Kojima"]}</t>
  </si>
  <si>
    <t>10.1142/s1088424621500942</t>
  </si>
  <si>
    <t>MOCSUS</t>
  </si>
  <si>
    <t>[Co]123(N(=O)=O)n4c5ccc4C(=C4[N]1=C(C(=c1ccc(=C(C6=[N]3C(=C5c3ccccc3)C=C6)c3ccccc3)n21)[C]1[C@H]2[CH][CH][C@H]2[CH][C@@H]2[C@H]1[CH][CH]2)C=C4)c1ccccc1</t>
  </si>
  <si>
    <t>{"audit_creation_date": "2002-08-21", "audit_creation_method": "CSD-ConQuest-V1", "database_code_CSD": "MOCSUS", "database_code_depnum_ccdc_archive": "CCDC 183770", "chemical_formula_sum": "C50 H34 Co1 N5 O2", "chemical_formula_moiety": "", "journal_volume": "58", "journal_year": "2002", "journal_page_first": "m162", "journal_name_full": "Acta Crystallogr.,Sect.E:Struct.Rep.Online ", "publ_author_name": ["S.Ohba", "H.Seki"]}</t>
  </si>
  <si>
    <t>10.1107/s1600536802005160</t>
  </si>
  <si>
    <t>MOKHIF</t>
  </si>
  <si>
    <t>c12ccc3C(=C4C=CC5=[N]4[Rh]4(CCC)([N]6=C(C(=c7ccc(=C5c5ccccc5)n47)c4ccccc4)C=CC6=C2c2ccccc2)n13)c1ccccc1</t>
  </si>
  <si>
    <t>{"audit_creation_date": "2014-08-08", "audit_creation_method": "CSD-ConQuest-V1", "database_code_CSD": "MOKHIF", "database_code_depnum_ccdc_archive": "CCDC 1018630", "chemical_formula_sum": "C47 H35 N4 Rh1", "chemical_formula_moiety": "", "journal_volume": "33", "journal_year": "2014", "journal_page_first": "3757", "journal_name_full": "Organometallics ", "publ_author_name": ["S.J.Thompson", "Guangbin Dong"]}</t>
  </si>
  <si>
    <t>10.1021/om500438s</t>
  </si>
  <si>
    <t>MORZIE</t>
  </si>
  <si>
    <t>[Ir]123(c4ccccc4F)(n4c5=C(C6=[N]3C(=C(c3ccc(C(=C7C=CC(=[N]17)C(=c4cc5)c1ccc(cc1)C)c1ccc(cc1)C)n23)c1ccc(cc1)C)C=C6)c1ccc(cc1)C)[O]</t>
  </si>
  <si>
    <t>{"audit_creation_date": "2015-01-23", "audit_creation_method": "CSD-ConQuest-V1", "database_code_CSD": "MORZIE", "database_code_depnum_ccdc_archive": "CCDC 1045264", "chemical_formula_sum": "C54 H42 F1 Ir1 N4 O1", "chemical_formula_moiety": "", "journal_volume": "33", "journal_year": "2014", "journal_page_first": "7059", "journal_name_full": "Organometallics ", "publ_author_name": ["Bao Zhu Li", "Ying Ying Qian", "Jianwen Liu", "Kin Shing Chan"]}</t>
  </si>
  <si>
    <t>10.1021/om5005594</t>
  </si>
  <si>
    <t>MOWNUK</t>
  </si>
  <si>
    <t>[Pd@@]123[N]4=C5C(=C(C4=C(c4n3c(C(=C3C(=C(C(=[N]23)C(=c2c(c(c(=C5c3ccc(cc3)F)n12)CC)CC)c1ccc(cc1)F)CC)CC)c1ccc(F)cc1)c(c4CC)CC)c1ccc(cc1)F)CC)CC</t>
  </si>
  <si>
    <t>{"audit_creation_date": "2019-11-14", "audit_creation_method": "CSD-ConQuest-V1", "database_code_CSD": "MOWNUK", "database_code_depnum_ccdc_archive": "CCDC 1920952", "chemical_formula_sum": "C60 H56 F4 N4 Pd1", "chemical_formula_moiety": "", "journal_volume": "58", "journal_year": "2019", "journal_page_first": "15769", "journal_name_full": "Inorg.Chem. ", "publ_author_name": ["K.J.Flanagan", "B.Twamley", "M.O.Senge"]}</t>
  </si>
  <si>
    <t>10.1021/acs.inorgchem.9b01963</t>
  </si>
  <si>
    <t>MOWPEW</t>
  </si>
  <si>
    <t>c12=C(C3=[N]4C(=C(c5n6c(C(=C7C(=C(C8=[N]7[Ni@]46n2c(=C8c2ccc(cc2)F)c(c1CC)CC)CC)CC)c1ccc(cc1)F)c(c5CC)CC)c1ccc(F)cc1)C(=C3CC)CC)c1ccc(cc1)F</t>
  </si>
  <si>
    <t>{"audit_creation_date": "2019-11-14", "audit_creation_method": "CSD-ConQuest-V1", "database_code_CSD": "MOWPEW", "database_code_depnum_ccdc_archive": "CCDC 1920954", "chemical_formula_sum": "C60 H56 F4 N4 Ni1", "chemical_formula_moiety": "", "journal_volume": "58", "journal_year": "2019", "journal_page_first": "15769", "journal_name_full": "Inorg.Chem. ", "publ_author_name": ["K.J.Flanagan", "B.Twamley", "M.O.Senge"]}</t>
  </si>
  <si>
    <t>MOWPOG</t>
  </si>
  <si>
    <t>Brc1ccc(C2=c3c(c(c4=C(C5=[N]6C(=C(c7ccc(Br)cc7)c7c(c(c8C(=C9C(=C(C2=[N]9[Ni@@]6(n34)n78)CC)CC)c2ccc(cc2)Br)CC)CC)C(=C5CC)CC)c2ccc(cc2)Br)CC)CC)cc1</t>
  </si>
  <si>
    <t>{"audit_creation_date": "2019-11-14", "audit_creation_method": "CSD-ConQuest-V1", "database_code_CSD": "MOWPOG", "database_code_depnum_ccdc_archive": "CCDC 1920956", "chemical_formula_sum": "C61 H58 Br4 Cl2 N4 Ni1", "chemical_formula_moiety": "", "journal_volume": "58", "journal_year": "2019", "journal_page_first": "15769", "journal_name_full": "Inorg.Chem. ", "publ_author_name": ["K.J.Flanagan", "B.Twamley", "M.O.Senge"]}</t>
  </si>
  <si>
    <t>MUGLIM</t>
  </si>
  <si>
    <t>c1c(ccc(C2=C3[N]4=C(C(=c5ccc6=C(C7=[N]8[Ni@]4(n56)n4c(ccc24)C(=C8C=C7)c2ccc(cc2)NC(=O)C)c2ccc(cc2)NC(=O)C)c2ccc(NC(=O)C)cc2)C=C3)c1)NC(=O)C</t>
  </si>
  <si>
    <t>{"audit_creation_date": "2020-03-26", "audit_creation_method": "CSD-ConQuest-V1", "database_code_CSD": "MUGLIM", "database_code_depnum_ccdc_archive": "CCDC 1940794", "chemical_formula_sum": "C52 H40 N8 Ni1 O4", "chemical_formula_moiety": "", "journal_volume": "59", "journal_year": "2020", "journal_page_first": "8941", "journal_name_full": "Angew.Chem.,Int.Ed. ", "publ_author_name": ["Xiaojun Guo", "Ni Wang", "Xialiang Li", "Zongyao Zhang", "Jianping Zhao", "Wanjie Ren", "Shuping Ding", "Gelun Xu", "Jianfeng Li", "U.-P.Apfel", "Wei Zhang", "Rui Cao"]}</t>
  </si>
  <si>
    <t>10.1002/anie.202082811</t>
  </si>
  <si>
    <t>MUHKAC</t>
  </si>
  <si>
    <t>c1cc2=C(C3=[N]4C(=C(c5ccc6C(=C7[N]8=C(C=C7)C(=c1n2[Ru]48([C][O])([CH][Si](C)(C)C)n56)c1c(cc(cc1c1ccccc1)c1ccccc1)c1ccccc1)c1c(cc(cc1c1ccccc1)c1ccccc1)c1ccccc1)c1c(cc(c2ccccc2)cc1c1ccccc1)c1ccccc1)C=C3)c1c(cc(cc1c1ccccc1)c1ccccc1)c1ccccc1</t>
  </si>
  <si>
    <t>{"audit_creation_date": "2010-06-29", "audit_creation_method": "CSD-ConQuest-V1", "database_code_CSD": "MUHKAC", "database_code_depnum_ccdc_archive": "CCDC 627547", "chemical_formula_sum": "C128 H104 Cl2 N4 O3 Ru1 Si1", "chemical_formula_moiety": "", "journal_volume": "15", "journal_year": "2009", "journal_page_first": "10707", "journal_name_full": "Chem.-Eur.J. ", "publ_author_name": ["Qing-Hai Deng", "Jian Chen", "Jie-Sheng Huang", "S.S.-Y.Chui", "Nianyong Zhu", "Guang-Yu Li", "Chi-Ming Che"]}</t>
  </si>
  <si>
    <t>10.1002/chem.200901895</t>
  </si>
  <si>
    <t>MUNJUA</t>
  </si>
  <si>
    <t>[Ni@@]123n4c5=C([Pt]([P](c6ccccc6)(c6ccccc6)c6ccccc6)([P](c6ccccc6)(c6ccccc6)c6ccccc6)Br)C6=[N]1C(=C(c1ccc(C=C7C=CC(=[N]27)C(=c4cc5)c2ccccc2)n31)c1ccccc1)C=C6</t>
  </si>
  <si>
    <t>{"audit_creation_date": "2003-02-20", "audit_creation_method": "CSD-ConQuest-V1", "database_code_CSD": "MUNJUA", "database_code_depnum_ccdc_archive": "CCDC 186869", "chemical_formula_sum": "C68.5 H50 Br1 Cl1 N4 Ni1 P2 Pt1", "chemical_formula_moiety": "", "journal_volume": null, "journal_year": "2002", "journal_page_first": "4497", "journal_name_full": "J.Chem.Soc.,Dalton Trans. ", "publ_author_name": ["M.J.Hodgson", "P.C.Healy", "M.L.Williams", "D.P.Arnold"]}</t>
  </si>
  <si>
    <t>10.1039/b205295b</t>
  </si>
  <si>
    <t>MUNKEL</t>
  </si>
  <si>
    <t>[Pt](C1=c2ccc3=C(C4=[N]5C(=C(Br)c6ccc7C(=C8C=CC1=[N]8[Ni@@]5(n23)n67)c1ccccc1)C=C4)c1ccccc1)([P](c1ccccc1)(c1ccccc1)c1ccccc1)(Br)[P](c1ccccc1)(c1ccccc1)c1ccccc1</t>
  </si>
  <si>
    <t>{"audit_creation_date": "2003-02-20", "audit_creation_method": "CSD-ConQuest-V1", "database_code_CSD": "MUNKEL", "database_code_depnum_ccdc_archive": "CCDC 186871", "chemical_formula_sum": "C68 H48 Br2 N4 Ni1 P2 Pt1", "chemical_formula_moiety": "", "journal_volume": null, "journal_year": "2002", "journal_page_first": "4497", "journal_name_full": "J.Chem.Soc.,Dalton Trans. ", "publ_author_name": ["M.J.Hodgson", "P.C.Healy", "M.L.Williams", "D.P.Arnold"]}</t>
  </si>
  <si>
    <t>MUQTUQ</t>
  </si>
  <si>
    <t>c1ccccc1COc1ccc(C2=c3ccc4=C(C5=[N]6[Zn@]7(n34)n3c(C(=C6C=C5)c4cc(OC)cc(OC)c4)ccc3C(=C3C=CC2=[N]73)c2cc(OC)cc(OC)c2)c2cc(OC)cc(OC)c2)cc1</t>
  </si>
  <si>
    <t>{"audit_creation_date": "2020-08-11", "audit_creation_method": "CSD-ConQuest-V1", "database_code_CSD": "MUQTUQ", "database_code_depnum_ccdc_archive": "CCDC 2022749", "chemical_formula_sum": "C61 H55.4 N4 O9 Zn0.3", "chemical_formula_moiety": "", "journal_volume": null, "journal_year": "2020", "journal_page_first": null, "journal_name_full": "CSD Communication(Private Communication) ", "publ_author_name": ["F.R.Fronczek"]}</t>
  </si>
  <si>
    <t>NACXIA</t>
  </si>
  <si>
    <t>O=N(=O)C1=C2C(=C(C3=[N]2[Fe]24([N]5=C(C(=C(C5=C(c5c(c(c1n45)CC)CC)N(=O)=O)CC)CC)C(=c1c(c(c(=C3N(=O)=O)n21)CC)CC)N(=O)=O)(N1[CH]C=C(C=C1)C#N)N1[CH]C=C(C=C1)C#N)CC)CC</t>
  </si>
  <si>
    <t>{"audit_creation_date": "2011-03-04", "audit_creation_method": "CSD-ConQuest-V1", "database_code_CSD": "NACXIA", "database_code_depnum_ccdc_archive": "CCDC 755823", "chemical_formula_sum": "C48 H48 Fe1 N12 O8", "chemical_formula_moiety": "", "journal_volume": "39", "journal_year": "2010", "journal_page_first": "5795", "journal_name_full": "Dalton Trans. ", "publ_author_name": ["R.Patra", "S.Bhowmik", "S.K.Ghosh", "S.P.Rath"]}</t>
  </si>
  <si>
    <t>10.1039/b924742d</t>
  </si>
  <si>
    <t>NAFNUG</t>
  </si>
  <si>
    <t>c1c2=C(C3=[N]4C(=C(c5ccc(cc5)C)c5ccc6C(=C7C=CC8=[N]7[Ru]4(n2c(=C8c2ccc(cc2)C)c1)([N][O])(n56)OC(=O)[C@]1([Fe]2[C@@H]4C=C[C@H]2[CH]4)C=CC=C1)c1ccc(cc1)C)C=C3)c1ccc(cc1)C</t>
  </si>
  <si>
    <t>{"audit_creation_date": "2016-02-03", "audit_creation_method": "CSD-ConQuest-V1", "database_code_CSD": "NAFNUG", "database_code_depnum_ccdc_archive": "CCDC 1428263", "chemical_formula_sum": "C59 H45 Fe1 N5 O3 Ru1", "chemical_formula_moiety": "", "journal_volume": null, "journal_year": "2016", "journal_page_first": "509", "journal_name_full": "Eur.J.Inorg.Chem. ", "publ_author_name": ["D.Awasabisah", "Nan Xu", "K.P.S.Gautam", "D.R.Powell", "M.J.Shaw", "G.B.Richter-Addo"]}</t>
  </si>
  <si>
    <t>10.1002/ejic.201501115</t>
  </si>
  <si>
    <t>NANZEK</t>
  </si>
  <si>
    <t>[Zn]123(n4c5=C(C6=[N]1C(=C(c1ccc(C(=C7C=CC(=[N]37)C(=c4cc5)c3ccccc3)c3ccccc3)n21)c1ccccc1)C=C6)c1ccccc1)N1[CH]C=CC(=C1)Br</t>
  </si>
  <si>
    <t>{"audit_creation_date": "2017-03-20", "audit_creation_method": "CSD-ConQuest-V1", "database_code_CSD": "NANZEK", "database_code_depnum_ccdc_archive": "CCDC 1509180", "chemical_formula_sum": "C49 H32 Br1 N5 Zn1", "chemical_formula_moiety": "", "journal_volume": "23", "journal_year": "2017", "journal_page_first": "5033", "journal_name_full": "Chem.-Eur.J. ", "publ_author_name": ["M.Kadri", "Jingran Hou", "V.Dorcet", "T.Roisnel", "L.Bechki", "A.Miloudi", "C.Bruneau", "R.Gramage-Doria"]}</t>
  </si>
  <si>
    <t>10.1002/chem.201604780</t>
  </si>
  <si>
    <t>NANZIO</t>
  </si>
  <si>
    <t>c1c(C2=C3C=CC4=[N]3[Zn]35(n6c2ccc6C(=C2C=CC(=[N]52)C(=c2ccc(=C4c4ccccc4)n32)c2ccccc2)c2ccccc2)N2[CH]C=C(C=C2)Br)cccc1</t>
  </si>
  <si>
    <t>{"audit_creation_date": "2017-03-20", "audit_creation_method": "CSD-ConQuest-V1", "database_code_CSD": "NANZIO", "database_code_depnum_ccdc_archive": "CCDC 1509181", "chemical_formula_sum": "C50 H33 Br1 Cl3 N5 Zn1", "chemical_formula_moiety": "", "journal_volume": "23", "journal_year": "2017", "journal_page_first": "5033", "journal_name_full": "Chem.-Eur.J. ", "publ_author_name": ["M.Kadri", "Jingran Hou", "V.Dorcet", "T.Roisnel", "L.Bechki", "A.Miloudi", "C.Bruneau", "R.Gramage-Doria"]}</t>
  </si>
  <si>
    <t>NAPJAR</t>
  </si>
  <si>
    <t>[Si](C#CC1=C(C2=[N]3[Ni@@]45n6c(=C(C7=[N]4C(=C(c4ccccc4)c4ccc(C(=C13)c1ccccc1)n54)C(=C7C#C[Si](C)(C)C)C#C[Si](C)(C)C)c1ccccc1)ccc6=C2c1ccccc1)C#C[Si](C)(C)C)(C)(C)C</t>
  </si>
  <si>
    <t>{"audit_creation_date": "2012-03-30", "audit_creation_method": "CSD-ConQuest-V1", "database_code_CSD": "NAPJAR", "database_code_depnum_ccdc_archive": "CCDC 825984", "chemical_formula_sum": "C67 H66 Cl6 N4 Ni1 Si4", "chemical_formula_moiety": "", "journal_volume": "17", "journal_year": "2011", "journal_page_first": "14539", "journal_name_full": "Chem.-Eur.J. ", "publ_author_name": ["L.J.K.Boerner", "S.Mazumder", "M.Pink", "Mu-Hyun Baik", "J.M.Zaleski"]}</t>
  </si>
  <si>
    <t>10.1002/chem.201102488</t>
  </si>
  <si>
    <t>NARDOA</t>
  </si>
  <si>
    <t>C12=C(c3ccc4C(=C5C=CC6=[N]5[Rh]5(CCN(Cc7ccccc7)Cc7ccccc7)(n34)[N]2=C(C=C1)C(=c1ccc(=C6c2ccc(cc2)C)n51)c1ccc(cc1)C)c1ccc(C)cc1)c1ccc(cc1)C</t>
  </si>
  <si>
    <t>{"audit_creation_date": "2005-09-27", "audit_creation_method": "CSD-ConQuest-V1", "database_code_CSD": "NARDOA", "database_code_depnum_ccdc_archive": "CCDC 274714", "chemical_formula_sum": "C64 H54 N5 Rh1", "chemical_formula_moiety": "", "journal_volume": "24", "journal_year": "2005", "journal_page_first": "2561", "journal_name_full": "Organometallics ", "publ_author_name": ["Siu Kwan Yeung", "Kin Shing Chan"]}</t>
  </si>
  <si>
    <t>10.1021/om0501475</t>
  </si>
  <si>
    <t>NEDCOO</t>
  </si>
  <si>
    <t>C1=CC2=C([C@@H]3C(C)([C@@H]3C(=O)Oc3ccc(cc3)N(=O)=O)C)c3ccc4C(=C5C=CC6=[N]5[Zn]5(n7c(=C6[C@@H]6C(C)(C)[C@@H]6C(=O)Oc6ccc(cc6)N(=O)=O)ccc7=C([C@@H]6C(C)(C)[C@@H]6C(=O)Oc6ccc(cc6)N(=O)=O)C1=[N]25)(n34)N1[CH]C=CC=C1)[C@@H]1C(C)([C@@H]1C(=O)Oc1ccc(cc1)N(=O)=O)C</t>
  </si>
  <si>
    <t>{"audit_creation_date": "1998-04-14", "audit_creation_method": "CSD-ConQuest-V1", "database_code_CSD": "NEDCOO", "database_code_depnum_ccdc_archive": "CCDC 100301", "chemical_formula_sum": "C75.71 H66.42 Cl5.42 N9 O16 Zn1", "chemical_formula_moiety": "", "journal_volume": "119", "journal_year": "1997", "journal_page_first": "12400", "journal_name_full": "J.Am.Chem.Soc. ", "publ_author_name": ["M.Mazzanti", "J.-C.Marchon", "Maoyu Shang", "W.R.Scheidt", "Songling Jia", "J.A.Shelnutt"]}</t>
  </si>
  <si>
    <t>10.1021/ja972947f</t>
  </si>
  <si>
    <t>NEFTUN01</t>
  </si>
  <si>
    <t>Clc1ccc(C2=C3[N]4=C(C(=c5ccc6=C(C7=[N]8[Os]4(n56)(n4c2ccc4C(=C8C=C7)c2ccc(cc2)Cl)([N]C(C)(C)C)[N]C(C)(C)C)c2ccc(cc2)Cl)c2ccc(Cl)cc2)C=C3)cc1</t>
  </si>
  <si>
    <t>{"audit_creation_date": "1998-07-09", "audit_creation_method": "CSD-ConQuest-V1", "database_code_CSD": "NEFTUN01", "database_code_depnum_ccdc_archive": "CCDC 1218168", "chemical_formula_sum": "C52 H42 Cl4 N6 Os1", "chemical_formula_moiety": "", "journal_volume": "15", "journal_year": "1997", "journal_page_first": "1", "journal_name_full": "Chin.J.Chem. ", "publ_author_name": ["Zao-Ying Li", "Chi-Ming Che"]}</t>
  </si>
  <si>
    <t>10.1021/ic961228j</t>
  </si>
  <si>
    <t xml:space="preserve">Chin.J.Chem. </t>
  </si>
  <si>
    <t>NEFTUN</t>
  </si>
  <si>
    <t>{"audit_creation_date": "1998-04-22", "audit_creation_method": "CSD-ConQuest-V1", "database_code_CSD": "NEFTUN", "database_code_depnum_ccdc_archive": null, "chemical_formula_sum": "C52 H42 Cl4 N6 Os1", "chemical_formula_moiety": "", "journal_volume": "36", "journal_year": "1997", "journal_page_first": "3064", "journal_name_full": "Inorg.Chem. ", "publ_author_name": ["Zao-Ying Li", "Jie-Sheng Huang", "M.Chi-Wang Chan", "Kung-Kai Cheung", "Chi-Ming Che"]}</t>
  </si>
  <si>
    <t>NEMXOT</t>
  </si>
  <si>
    <t>c1cc2C(=C3C=CC4=[N]3[Ru]35([C][O])(n6c(=C4c4ccc(cc4)C(=O)O)ccc6=C(C4=[N]3C(=C(c1n25)c1ccc(cc1)C(=O)O)C=C4)c1ccc(cc1)C(=O)O)N1[CH]C=CC=C1)c1ccc(cc1)C(=O)O</t>
  </si>
  <si>
    <t>{"audit_creation_date": "2006-11-27", "audit_creation_method": "CSD-ConQuest-V1", "database_code_CSD": "NEMXOT", "database_code_depnum_ccdc_archive": "CCDC 611949", "chemical_formula_sum": "C64 H43 N7 O9 Ru1", "chemical_formula_moiety": "", "journal_volume": "8", "journal_year": "2006", "journal_page_first": "601", "journal_name_full": "CrystEngComm ", "publ_author_name": ["S.Lipstman", "S.Muniappan", "S.George", "I.Goldberg"]}</t>
  </si>
  <si>
    <t>10.1039/b608852j</t>
  </si>
  <si>
    <t>NESHUO</t>
  </si>
  <si>
    <t>[N]12=C3C=CC2=C(c2ccccc2)c2n4[Ni@]51n1c(=C3)ccc1=C(C1=[N]5C(=C(c4cc2)Br)C=C1)c1ccccc1</t>
  </si>
  <si>
    <t>{"audit_creation_date": "1998-04-30", "audit_creation_method": "CSD-ConQuest-V1", "database_code_CSD": "NESHUO", "database_code_depnum_ccdc_archive": "CCDC 1218701", "chemical_formula_sum": "C32 H19 Br1 N4 Ni1", "chemical_formula_moiety": "", "journal_volume": "50", "journal_year": "1997", "journal_page_first": "495", "journal_name_full": "Aust.J.Chem. ", "publ_author_name": ["D.P.Arnold", "R.C.Bott", "H.Eldridge", "F.M.Elms", "G.Smith", "Mike Zojaji"]}</t>
  </si>
  <si>
    <t>10.1071/c96173</t>
  </si>
  <si>
    <t>NESJAW</t>
  </si>
  <si>
    <t>c1(ccccc1)C1=C2[N]3=C(C(=c4n5[Ni@@]63n3c1ccc3C=C1[N]6=C(C=C1)C(=c5cc4)c1ccccc1)C#C[Si](C)(C)C)C=C2</t>
  </si>
  <si>
    <t>{"audit_creation_date": "1998-04-30", "audit_creation_method": "CSD-ConQuest-V1", "database_code_CSD": "NESJAW", "database_code_depnum_ccdc_archive": "CCDC 1218702", "chemical_formula_sum": "C37 H28 N4 Ni1 Si1", "chemical_formula_moiety": "", "journal_volume": "50", "journal_year": "1997", "journal_page_first": "495", "journal_name_full": "Aust.J.Chem. ", "publ_author_name": ["D.P.Arnold", "R.C.Bott", "H.Eldridge", "F.M.Elms", "G.Smith", "Mike Zojaji"]}</t>
  </si>
  <si>
    <t>NEYCAV01</t>
  </si>
  <si>
    <t>[Co]123(n4c5=CC6=[N]1C(=Cc1c(c(c(C=C7C(=C(C(=[N]37)C=c4c(c5CC)CC)CC)CC)n21)CC)CC)C(=C6CC)CC)N=O</t>
  </si>
  <si>
    <t>{"audit_creation_date": "1999-07-19", "audit_creation_method": "CSD-ConQuest-V1", "database_code_CSD": "NEYCAV01", "database_code_depnum_ccdc_archive": "CCDC 103035", "chemical_formula_sum": "C36 H44 Co1 N5 O1", "chemical_formula_moiety": "", "journal_volume": "121", "journal_year": "1999", "journal_page_first": "3829", "journal_name_full": "J.Am.Chem.Soc. ", "publ_author_name": ["N.Godbout", "L.K.Sanders", "R.Salzmann", "R.H.Havlin", "M.Wojdelski", "E.Oldfield"]}</t>
  </si>
  <si>
    <t>NEYCAV</t>
  </si>
  <si>
    <t>[Co]123([N]4=C5C=c6c(CC)c(c(=CC7=[N]3C(=Cc3c(c(c(C=C4C(=C5CC)CC)n13)CC)CC)C(=C7CC)CC)n26)CC)N=O</t>
  </si>
  <si>
    <t>{"audit_creation_date": "1998-04-30", "audit_creation_method": "CSD-ConQuest-V1", "database_code_CSD": "NEYCAV", "database_code_depnum_ccdc_archive": "CCDC 1219121", "chemical_formula_sum": "C36 H44 Co1 N5 O1", "chemical_formula_moiety": "", "journal_volume": "37", "journal_year": "1998", "journal_page_first": "382", "journal_name_full": "Inorg.Chem. ", "publ_author_name": ["M.K.Ellison", "W.R.Scheidt"]}</t>
  </si>
  <si>
    <t>10.1021/ic971109j</t>
  </si>
  <si>
    <t>NEYWUM</t>
  </si>
  <si>
    <t>[Fe]123([C][O])(N4C=CN(C)[CH]4)[N]4=C5C=c6ccc(=CC7=[N]3C(=Cc3ccc(C=C4C=C5)n23)C=C7)n16</t>
  </si>
  <si>
    <t>{"audit_creation_date": "2018-04-27", "audit_creation_method": "CSD-ConQuest-V1", "database_code_CSD": "NEYWUM", "database_code_depnum_ccdc_archive": "CCDC 1827170", "chemical_formula_sum": "C25 H18 Fe1 N6 O1", "chemical_formula_moiety": "", "journal_volume": "57", "journal_year": "2018", "journal_page_first": "5648", "journal_name_full": "Inorg.Chem. ", "publ_author_name": ["Ming Li", "A.G.Oliver", "W.Robert Scheidt"]}</t>
  </si>
  <si>
    <t>10.1021/acs.inorgchem.8b00599</t>
  </si>
  <si>
    <t>NIFSUR</t>
  </si>
  <si>
    <t>c1ccccc1C1=C2[N]3=C(C(=c4ccc5=C(C6=[N]7[Zn]3(n45)(n3c(C(=C7C=C6)c4ccccc4)ccc13)[N](C)(C)Cc1ccccc1Br)c1ccccc1)c1ccccc1)C=C2</t>
  </si>
  <si>
    <t>{"audit_creation_date": "2007-11-06", "audit_creation_method": "CSD-ConQuest-V1", "database_code_CSD": "NIFSUR", "database_code_depnum_ccdc_archive": "CCDC 625328", "chemical_formula_sum": "C53 H40 Br1 N5 Zn1", "chemical_formula_moiety": "", "journal_volume": "2", "journal_year": "2007", "journal_page_first": "889", "journal_name_full": "Chem.Asian J. ", "publ_author_name": ["B.M.J.M.Suijkerbuijk", "D.M.Tooke", "A.L.Spek", "G.van Koten", "R.J.M.K.Gebbink"]}</t>
  </si>
  <si>
    <t>10.1002/asia.200700082</t>
  </si>
  <si>
    <t xml:space="preserve">Chem.Asian J. </t>
  </si>
  <si>
    <t>NIFTAY</t>
  </si>
  <si>
    <t>c1(ccccc1)C1=C2[N]3=C(C(=c4ccc5=C(C6=[N]7[Zn]3(n45)(n3c(C(=C7C=C6)c4ccccc4)ccc13)[N](C)(C)Cc1ccccc1)c1ccccc1)c1ccccc1)C=C2</t>
  </si>
  <si>
    <t>{"audit_creation_date": "2007-11-06", "audit_creation_method": "CSD-ConQuest-V1", "database_code_CSD": "NIFTAY", "database_code_depnum_ccdc_archive": "CCDC 625330", "chemical_formula_sum": "C53 H41 N5 Zn1", "chemical_formula_moiety": "", "journal_volume": "2", "journal_year": "2007", "journal_page_first": "889", "journal_name_full": "Chem.Asian J. ", "publ_author_name": ["B.M.J.M.Suijkerbuijk", "D.M.Tooke", "A.L.Spek", "G.van Koten", "R.J.M.K.Gebbink"]}</t>
  </si>
  <si>
    <t>NIKPEC</t>
  </si>
  <si>
    <t>C12=[N]3C(=C(c4ccc5C(=C6C=CC7=[N]6[Zn@@]3(n45)n3c(=C1c1ccc(cc1)C#N)ccc3=C7c1ccc(cc1)C#N)c1ccc(cc1)C#N)c1ccc(cc1)C#N)C=C2</t>
  </si>
  <si>
    <t>{"audit_creation_date": "1998-05-22", "audit_creation_method": "CSD-ConQuest-V1", "database_code_CSD": "NIKPEC", "database_code_depnum_ccdc_archive": "CCDC 121083", "chemical_formula_sum": "C55 H31 Cl3 N8 Zn1", "chemical_formula_moiety": "", "journal_volume": "37", "journal_year": "1998", "journal_page_first": "541", "journal_name_full": "Inorg.Chem. ", "publ_author_name": ["R.K.Kumar", "S.Balasubramanian", "I.Goldberg"]}</t>
  </si>
  <si>
    <t>10.1021/ic971259u</t>
  </si>
  <si>
    <t>NIPNEG</t>
  </si>
  <si>
    <t>[Ni@]123[N]4=C5C=CC4=C(c4ccc(C(=C6C=CC(=[N]26)C(=c2ccc(=C5c5cc[n+](cc5)[O-])n12)c1cc[n+](cc1)[O-])c1cc[n+](cc1)[O-])n34)c1cc[n+]([O-])cc1</t>
  </si>
  <si>
    <t>{"audit_creation_date": "2008-01-25", "audit_creation_method": "CSD-ConQuest-V1", "database_code_CSD": "NIPNEG", "database_code_depnum_ccdc_archive": "CCDC 649317", "chemical_formula_sum": "C42 H34 N8 Ni1 O7", "chemical_formula_moiety": "", "journal_volume": null, "journal_year": "2007", "journal_page_first": "4126", "journal_name_full": "Dalton Trans. ", "publ_author_name": ["E.Deiters", "V.Bulach", "M.W.Hosseini"]}</t>
  </si>
  <si>
    <t>10.1039/b708302e</t>
  </si>
  <si>
    <t>NOGWIR</t>
  </si>
  <si>
    <t>[Zn]123(n4c5=C(c6c(ccc7c6cccc7)O)C6=[N]3C(=C(c3ccc(C(=C7C=CC(=[N]17)C(=c4cc5)c1ccccc1)c1c(ccc4c1cccc4)O)n23)c1ccc(cc1)O)C=C6)[NH2][C@@H](Cc1ccccc1)C(=O)OC</t>
  </si>
  <si>
    <t>{"audit_creation_date": "2014-07-12", "audit_creation_method": "CSD-ConQuest-V1", "database_code_CSD": "NOGWIR", "database_code_depnum_ccdc_archive": "CCDC 949448", "chemical_formula_sum": "C64 H47 Cl6 N5 O5 Zn1", "chemical_formula_moiety": "", "journal_volume": "55", "journal_year": "2014", "journal_page_first": "3377", "journal_name_full": "Tetrahedron Lett. ", "publ_author_name": ["Liguo Yang", "Mengliang Zhu", "Yangjian Liu", "Wenxin Lu", "Yang Zhou", "Yongzhong Bian"]}</t>
  </si>
  <si>
    <t>10.1016/j.tetlet.2014.04.067</t>
  </si>
  <si>
    <t>NOGWOX</t>
  </si>
  <si>
    <t>[CH]1C=CC=CN1[Zn]123[N]4=C5C=CC4=C(c4ccc(C(=C6C=CC(=[N]26)C(=c2ccc(=C5c5c(ccc6ccccc56)O)n12)c1ccccc1)c1c(ccc2ccccc12)O)n34)c1ccc(cc1)O</t>
  </si>
  <si>
    <t>{"audit_creation_date": "2014-07-12", "audit_creation_method": "CSD-ConQuest-V1", "database_code_CSD": "NOGWOX", "database_code_depnum_ccdc_archive": "CCDC 949449", "chemical_formula_sum": "C60 H40 Cl9 N5 O3 Zn1", "chemical_formula_moiety": "", "journal_volume": "55", "journal_year": "2014", "journal_page_first": "3377", "journal_name_full": "Tetrahedron Lett. ", "publ_author_name": ["Liguo Yang", "Mengliang Zhu", "Yangjian Liu", "Wenxin Lu", "Yang Zhou", "Yongzhong Bian"]}</t>
  </si>
  <si>
    <t>NOHQEG</t>
  </si>
  <si>
    <t>S([Os]123([N][O])[N]4=C5C=CC4=C(c4ccc(C(=C6C=CC(=[N]36)C(=c3ccc(=C5c5ccc(cc5)C)n13)c1ccc(C)cc1)c1ccc(cc1)C)n24)c1ccc(cc1)C)CCC(C)C</t>
  </si>
  <si>
    <t>{"audit_creation_date": "1998-07-09", "audit_creation_method": "CSD-ConQuest-V1", "database_code_CSD": "NOHQEG", "database_code_depnum_ccdc_archive": null, "chemical_formula_sum": "C53 H47 N5 O1 Os1 S1", "chemical_formula_moiety": "", "journal_volume": "36", "journal_year": "1997", "journal_page_first": "3876", "journal_name_full": "Inorg.Chem. ", "publ_author_name": ["Guen-Bae Yi", "Li Chen", "M.A.Khan", "G.B.Richter-Addo"]}</t>
  </si>
  <si>
    <t>10.1021/ic970282c</t>
  </si>
  <si>
    <t>NOKMIJ</t>
  </si>
  <si>
    <t>[Ru]123([N]4=C5C=c6c(c(c(=CC7=[N]1C(=Cc1c(CC)c(c(C=C4C(=C5CC)CC)n31)CC)C(=C7CC)CC)n26)CC)CC)([N][O])ON=O</t>
  </si>
  <si>
    <t>{"audit_creation_date": "1998-07-09", "audit_creation_method": "CSD-ConQuest-V1", "database_code_CSD": "NOKMIJ", "database_code_depnum_ccdc_archive": null, "chemical_formula_sum": "C37 H46 Cl2 N6 O3 Ru1", "chemical_formula_moiety": "", "journal_volume": "36", "journal_year": "1997", "journal_page_first": "4838", "journal_name_full": "Inorg.Chem. ", "publ_author_name": ["K.M.Miranda", "X.Bu", "I.Lorkovic", "P.C.Ford"]}</t>
  </si>
  <si>
    <t>10.1021/ic970065b</t>
  </si>
  <si>
    <t>NOKPAH</t>
  </si>
  <si>
    <t>c1(C2=C3C=CC4=[N]3[Co]35(n6c2ccc6C(=C2C=CC(=[N]52)C(=c2ccc(=C4c4ccccc4)n32)c2ccccc2)c2ccccc2)(S(=O)(=O)C(F)(F)F)[N][C]C)ccccc1</t>
  </si>
  <si>
    <t>{"audit_creation_date": "2019-06-21", "audit_creation_method": "CSD-ConQuest-V1", "database_code_CSD": "NOKPAH", "database_code_depnum_ccdc_archive": "CCDC 1905720", "chemical_formula_sum": "C47 H31 Co1 F3 N5 O2 S1", "chemical_formula_moiety": "", "journal_volume": "2019", "journal_year": "2019", "journal_page_first": "4613", "journal_name_full": "Eur.J.Org.Chem. ", "publ_author_name": ["K.Maeda", "T.Kurahashi", "S.Matsubara"]}</t>
  </si>
  <si>
    <t>10.1002/ejoc.201900834</t>
  </si>
  <si>
    <t xml:space="preserve">Eur.J.Org.Chem. </t>
  </si>
  <si>
    <t>NOKPEL</t>
  </si>
  <si>
    <t>c1(C2=c3n4c(=C(c5ccccc5)C5=[N]6C(=C(c7ccccc7)c7ccc8C(=C9C=CC2=[N]9[Co]46(C(F)(F)F)([N][C]C)n78)c2ccccc2)C=C5)cc3)ccccc1</t>
  </si>
  <si>
    <t>{"audit_creation_date": "2019-06-21", "audit_creation_method": "CSD-ConQuest-V1", "database_code_CSD": "NOKPEL", "database_code_depnum_ccdc_archive": "CCDC 1905721", "chemical_formula_sum": "C47 H31 Co1 F3 N5", "chemical_formula_moiety": "", "journal_volume": "2019", "journal_year": "2019", "journal_page_first": "4613", "journal_name_full": "Eur.J.Org.Chem. ", "publ_author_name": ["K.Maeda", "T.Kurahashi", "S.Matsubara"]}</t>
  </si>
  <si>
    <t>NOLXUH</t>
  </si>
  <si>
    <t>[Ni@@]123n4c5=CC6=[N]3C(=C(c3c(c(c(C(=C7C(=C(C(=[N]17)C(=c4c(c5CC)CC)CCCC)CC)CC)CCCC)n23)CC)CC)CCCC)C(=C6CC)CC</t>
  </si>
  <si>
    <t>{"audit_creation_date": "1998-07-09", "audit_creation_method": "CSD-ConQuest-V1", "database_code_CSD": "NOLXUH", "database_code_depnum_ccdc_archive": "CCDC 100789", "chemical_formula_sum": "C49 H70 Cl2 N4 Ni1", "chemical_formula_moiety": "", "journal_volume": "37", "journal_year": "1998", "journal_page_first": "1107", "journal_name_full": "Angew.Chem.,Int.Ed. ", "publ_author_name": ["W.W.Kalisch", "M.O.Senge"]}</t>
  </si>
  <si>
    <t>10.1002/(sici)1521-3773(19980504)37:8&lt;1107::aid-anie1107&gt;3.3.co;2-q</t>
  </si>
  <si>
    <t>NOVYEF</t>
  </si>
  <si>
    <t>c1(ccc(C)cc1)C1=C2[N]3=C(C(=c4ccc5=C(c6ccc(C)cc6)C6=[N]7C(=C(c8n([Zn@]37n45)c1cc8)c1ccccc1)C=C6)SC)C=C2</t>
  </si>
  <si>
    <t>{"audit_creation_date": "2019-10-20", "audit_creation_method": "CSD-ConQuest-V1", "database_code_CSD": "NOVYEF", "database_code_depnum_ccdc_archive": "CCDC 1960380", "chemical_formula_sum": "C41 H30 N4 S1 Zn1", "chemical_formula_moiety": "", "journal_volume": null, "journal_year": "2019", "journal_page_first": null, "journal_name_full": "CSD Communication(Private Communication) ", "publ_author_name": ["M.O.Senge", "H.-G.Eckhardt", "A.A.Ryan"]}</t>
  </si>
  <si>
    <t>10.4324/9781351069366-4</t>
  </si>
  <si>
    <t>NOWXAB</t>
  </si>
  <si>
    <t>C12=C(c3ccc4C(=C5C=CC6=[N]5[Zn@@]5([N]2=C(C=C1)C(=c1ccc(=C6)n51)c1cc(cc(c1)C(C)(C)C)C(C)(C)C)n34)c1cc(cc(c1)C(C)(C)C)C(C)(C)C)c1cccc(c1)C(=O)OCC</t>
  </si>
  <si>
    <t>{"audit_creation_date": "2019-10-21", "audit_creation_method": "CSD-ConQuest-V1", "database_code_CSD": "NOWXAB", "database_code_depnum_ccdc_archive": "CCDC 1549911", "chemical_formula_sum": "C57 H60 N4 O2 Zn1", "chemical_formula_moiety": "", "journal_volume": null, "journal_year": "2019", "journal_page_first": null, "journal_name_full": "CSD Communication(Private Communication) ", "publ_author_name": ["M.O.Senge", "K.J.Flanagan", "A.A.Ryan"]}</t>
  </si>
  <si>
    <t>NTPOLC01</t>
  </si>
  <si>
    <t>[Co]123(n4c5=C(C6=[N]3C(=C(c3ccc(C(=C7C=CC(=[N]17)C(=c4cc5)c1ccccc1)c1ccccc1)n23)c1ccccc1)C=C6)c1ccccc1)(N1[CH]C(=CC(=C1)C)C)N(=O)=O</t>
  </si>
  <si>
    <t>{"audit_creation_date": "2006-09-07", "audit_creation_method": "CSD-ConQuest-V1", "database_code_CSD": "NTPOLC01", "database_code_depnum_ccdc_archive": "CCDC 289997", "chemical_formula_sum": "C51 H37 Co1 N6 O2", "chemical_formula_moiety": "", "journal_volume": "359", "journal_year": "2006", "journal_page_first": "3029", "journal_name_full": "Inorg.Chim.Acta ", "publ_author_name": ["E.Annoni", "M.Pizzotti", "R.Ugo", "S.Quici", "T.Morotti", "N.Casati", "P.Macchi"]}</t>
  </si>
  <si>
    <t>10.1016/j.ica.2006.05.001</t>
  </si>
  <si>
    <t>NUFNEH</t>
  </si>
  <si>
    <t>C12=C(c3ccccc3)c3ccc4C(=C5C=CC6=[N]5[Si]5(c7ccccc7)(c7ccccc7)(n7c(=C6c6ccccc6)ccc7=C(c6ccccc6)C(=[N]25)C=C1)n34)c1ccccc1</t>
  </si>
  <si>
    <t>{"audit_creation_date": "1998-09-03", "audit_creation_method": "CSD-ConQuest-V1", "database_code_CSD": "NUFNEH", "database_code_depnum_ccdc_archive": null, "chemical_formula_sum": "C56 H38 N4 Si1", "chemical_formula_moiety": "", "journal_volume": "37", "journal_year": "1998", "journal_page_first": "2591", "journal_name_full": "Inorg.Chem. ", "publ_author_name": ["Jian-Yu Zheng", "K.Konishi", "T.Aida"]}</t>
  </si>
  <si>
    <t>10.1021/ic971266i</t>
  </si>
  <si>
    <t>NUGMUA</t>
  </si>
  <si>
    <t>c1cccc(C2=c3ccc4=C(c5ccccc5)C5=[N]6[Zn]7([N]8=C2C=CC8=C(c2ccc(C(=C6C=C5)c5ccccc5)n72)c2ccccc2)(n34)[N@]23CP4C[N@](C2)C[N@@](C4)C3)c1</t>
  </si>
  <si>
    <t>{"audit_creation_date": "2020-02-27", "audit_creation_method": "CSD-ConQuest-V1", "database_code_CSD": "NUGMUA", "database_code_depnum_ccdc_archive": "CCDC 1964280", "chemical_formula_sum": "C51 H43 Cl3 N7 O1 P1 Zn1", "chemical_formula_moiety": "", "journal_volume": "59", "journal_year": "2020", "journal_page_first": "4068", "journal_name_full": "Inorg.Chem. ", "publ_author_name": ["F.Battistin", "A.Vidal", "P.Cavigli", "G.Balducci", "Elisabetta Iengo", "E.Alessio"]}</t>
  </si>
  <si>
    <t>10.1021/acs.inorgchem.0c00080</t>
  </si>
  <si>
    <t>NUKXEY</t>
  </si>
  <si>
    <t>C12=C(c3ccc4C(=C5C(=C(C6=[N]5[Zn]5([N]2=C(C(=C1C#Cc1ccccc1)C#Cc1ccccc1)C(=c1ccc(=C6c2ccc(cc2)CCCC)n51)c1ccc(cc1)CCCC)(n34)N1[CH]C=CC=C1)C#Cc1ccccc1)C#Cc1ccccc1)c1ccc(cc1)CCCC)c1ccc(cc1)CCCC</t>
  </si>
  <si>
    <t>{"audit_creation_date": "2015-04-30", "audit_creation_method": "CSD-ConQuest-V1", "database_code_CSD": "NUKXEY", "database_code_depnum_ccdc_archive": "CCDC 1012681", "chemical_formula_sum": "C97 H81 N5 Zn1", "chemical_formula_moiety": "", "journal_volume": null, "journal_year": "2014", "journal_page_first": "5760", "journal_name_full": "Eur.J.Inorg.Chem. ", "publ_author_name": ["P.Bhyrappa", "U.K.Sarangi", "V.Velkannan", "V.Ramkumar"]}</t>
  </si>
  <si>
    <t>10.1002/ejic.201402661</t>
  </si>
  <si>
    <t>NUMSOF</t>
  </si>
  <si>
    <t>c1c2n3c(C(=C4[N]5=C(C(=c6n7c(=C(C8=[N](C(=C2C=O)C=C8)[Ni@]357)c2ccccc2)cc6)c2ccccc2)C=C4)c2ccccc2)c1</t>
  </si>
  <si>
    <t>{"audit_creation_date": "2015-05-04", "audit_creation_method": "CSD-ConQuest-V1", "database_code_CSD": "NUMSOF", "database_code_depnum_ccdc_archive": "CCDC 1047930", "chemical_formula_sum": "C40 H25 Cl3 N4 Ni1 O1", "chemical_formula_moiety": "", "journal_volume": "2015", "journal_year": "2015", "journal_page_first": "2807", "journal_name_full": "Eur.J.Org.Chem. ", "publ_author_name": ["S.R.Harper", "M.C.Pfrunder", "L.J.Esdaile", "P.Jensen", "J.C.McMurtrie", "D.P.Arnold"]}</t>
  </si>
  <si>
    <t>10.1002/ejoc.201500183</t>
  </si>
  <si>
    <t>NUMTIA</t>
  </si>
  <si>
    <t>c12ccc3n1[Zn]14([N]5=C(C(=c6ccc(=C(C7=[N]1C(=C2N)C=C7)c1ccccc1)n46)c1ccccc1)C=CC5=C3c1ccccc1)N1[CH]C=CC=C1</t>
  </si>
  <si>
    <t>{"audit_creation_date": "2015-05-04", "audit_creation_method": "CSD-ConQuest-V1", "database_code_CSD": "NUMTIA", "database_code_depnum_ccdc_archive": "CCDC 1047934", "chemical_formula_sum": "C43 H30 N6 Zn1", "chemical_formula_moiety": "", "journal_volume": "2015", "journal_year": "2015", "journal_page_first": "2807", "journal_name_full": "Eur.J.Org.Chem. ", "publ_author_name": ["S.R.Harper", "M.C.Pfrunder", "L.J.Esdaile", "P.Jensen", "J.C.McMurtrie", "D.P.Arnold"]}</t>
  </si>
  <si>
    <t>OBAFAB</t>
  </si>
  <si>
    <t>c1(ccccc1)C1=c2n3[Zn@@]45[N]6=C(C=CC6=C(c6ccc(C(=C7[N]4=C1C=C7)c1ccccc1)n56)c1ccccc1)C(=c3cc2)c1cccc2cccc(c12)C(=O)Oc1ccccc1O</t>
  </si>
  <si>
    <t>{"audit_creation_date": "2016-11-17", "audit_creation_method": "CSD-ConQuest-V1", "database_code_CSD": "OBAFAB", "database_code_depnum_ccdc_archive": "CCDC 1426124", "chemical_formula_sum": "C56 H36 Cl2 N4 O3 Zn1", "chemical_formula_moiety": "", "journal_volume": "69", "journal_year": "2016", "journal_page_first": "2308", "journal_name_full": "J.Coord.Chem. ", "publ_author_name": ["Caifen Ou", "Huan Liu", "Ben Ma", "Chuanjiang Hu"]}</t>
  </si>
  <si>
    <t>10.1080/00958972.2016.1206656</t>
  </si>
  <si>
    <t>OBOHAP</t>
  </si>
  <si>
    <t>c1cc(c2c(C3=c4n5[Zn@]67n8c(C=C9[N]6=C3C=C9)ccc8C(=C3[N]7=C(C=C3)C=c5cc4)c3c(c4cc(ccc4)[P](c4ccccc4)(c4ccccc4)[S])cccc3)cccc2)cc([P](c2ccccc2)(c2ccccc2)[S])c1</t>
  </si>
  <si>
    <t>{"audit_creation_date": "2004-12-15", "audit_creation_method": "CSD-ConQuest-V1", "database_code_CSD": "OBOHAP", "database_code_depnum_ccdc_archive": "CCDC 249147", "chemical_formula_sum": "C70 H50 Cl4 N4 P2 S2 Zn1", "chemical_formula_moiety": "", "journal_volume": "23", "journal_year": "2004", "journal_page_first": "4012", "journal_name_full": "Organometallics ", "publ_author_name": ["M.Saito", "Y.Nishibayashi", "S.Uemura"]}</t>
  </si>
  <si>
    <t>10.1021/om0498201</t>
  </si>
  <si>
    <t>OCIRID</t>
  </si>
  <si>
    <t>[Ni@@]123[N]4=C5C(=C(C4=Cc4c(C(C)C)c(C(C)C)c(C=C6C(=C(C(=[N]26)C=c2c(c(c(=C5)n12)C(C)C)C(C)C)C(C)C)C(C)C)n34)C(C)C)C(C)C</t>
  </si>
  <si>
    <t>ODAWIZ</t>
  </si>
  <si>
    <t>n12[Ni@@]34[N]5=C6C=c1c(C)c(CC)c2=CC1=[N]4C(=Cc2n3c(cc2)C(=C5C=C6)c2cc(O)cc(O)c2)C(=C1CC)C</t>
  </si>
  <si>
    <t>{"audit_creation_date": "2002-02-21", "audit_creation_method": "CSD-ConQuest-V1", "database_code_CSD": "ODAWIZ", "database_code_depnum_ccdc_archive": "CCDC 157852", "chemical_formula_sum": "C33 H32 N4 Ni1 O3", "chemical_formula_moiety": "", "journal_volume": "74", "journal_year": "2001", "journal_page_first": "907", "journal_name_full": "Bull.Chem.Soc.Jpn. ", "publ_author_name": ["T.Tanaka", "K.Endo", "Y.Aoyama"]}</t>
  </si>
  <si>
    <t>10.1246/bcsj.74.907</t>
  </si>
  <si>
    <t>OJIYEN</t>
  </si>
  <si>
    <t>c1ccccc1COc1ccc(C2=C3C=CC4=[N]3[Zn]35(n6c2ccc6C(=C2[N]3=C(C=C2)C(=c2n5c(=C4c3ccc(OCc4ccccc4)cc3)cc2)c2ccc(cc2)OCc2ccccc2)c2ccc(OCc3ccccc3)cc2)O[C](C)OCC)cc1</t>
  </si>
  <si>
    <t>{"audit_creation_date": "2016-04-06", "audit_creation_method": "CSD-ConQuest-V1", "database_code_CSD": "OJIYEN", "database_code_depnum_ccdc_archive": "CCDC 1466050", "chemical_formula_sum": "C76 H60 N4 O6 Zn1", "chemical_formula_moiety": "", "journal_volume": null, "journal_year": "2016", "journal_page_first": null, "journal_name_full": "CSD Communication(Private Communication) ", "publ_author_name": ["T.A.Dar", "M.K.Chahal", "R.A.Kumar", "M.Sankar"]}</t>
  </si>
  <si>
    <t>OROJOV</t>
  </si>
  <si>
    <t>[Mn]123([N]4=C5C=CC4=C(c4ccc(cc4)OC)c4n1c(C(=C1C=CC(=[N]21)C(=c1n3c(=C5c2ccc(cc2)OC)cc1)c1ccc(cc1)OC)c1ccc(cc1)OC)cc4)Cl</t>
  </si>
  <si>
    <t>{"audit_creation_date": "2011-07-22", "audit_creation_method": "CSD-ConQuest-V1", "database_code_CSD": "OROJOV", "database_code_depnum_ccdc_archive": "CCDC 703055", "chemical_formula_sum": "C48 H36 Cl1 Mn1 N4 O4", "chemical_formula_moiety": "", "journal_volume": "13", "journal_year": "2011", "journal_page_first": "1320", "journal_name_full": "Solid State Sciences ", "publ_author_name": ["Shan Ling Tong", "Jing Zhang", "Yan Yan", "Sheng Hu", "Jian Yu", "Lin Yu"]}</t>
  </si>
  <si>
    <t>10.1016/j.solidstatesciences.2011.03.029</t>
  </si>
  <si>
    <t xml:space="preserve">Solid State Sciences </t>
  </si>
  <si>
    <t>PAGLUE</t>
  </si>
  <si>
    <t>[Zn]123(N4[CH]C=CC=C4)[N]4=C5C(=c6c(c(c(=CC7=[N]2C(=Cc2n3c(C=C4C(=C5CC)CC)c(c2CC)CC)C(=C7CC)CC)n16)CC)CC)O</t>
  </si>
  <si>
    <t>{"audit_creation_date": "1993-01-14", "audit_creation_method": "CSD-ConQuest-V1", "database_code_CSD": "PAGLUE", "database_code_depnum_ccdc_archive": null, "chemical_formula_sum": "C46 H54 N6 O1 Zn1", "chemical_formula_moiety": "", "journal_volume": "114", "journal_year": "1992", "journal_page_first": "3380", "journal_name_full": "J.Am.Chem.Soc. ", "publ_author_name": ["A.L.Balch", "B.C.Noll", "E.P.Zovinka"]}</t>
  </si>
  <si>
    <t>10.1021/ja00035a032</t>
  </si>
  <si>
    <t>PALFAL</t>
  </si>
  <si>
    <t>c1ccc(C2=c3n4[Ni@]56[N]7=C2C(=C(C#CCCC)C7=C(c2ccccc2)c2n6c(C(=C6[N]5=C(C(=c4cc3)c3ccccc3)C=C6)c3ccccc3)cc2)C#CCCC)cc1</t>
  </si>
  <si>
    <t>{"audit_creation_date": "2012-04-09", "audit_creation_method": "CSD-ConQuest-V1", "database_code_CSD": "PALFAL", "database_code_depnum_ccdc_archive": "CCDC 804632", "chemical_formula_sum": "C54 H40 N4 Ni1", "chemical_formula_moiety": "", "journal_volume": "696", "journal_year": "2011", "journal_page_first": "4152", "journal_name_full": "J.Organomet.Chem. ", "publ_author_name": ["M.Nath", "M.Pink", "J.M.Zaleski"]}</t>
  </si>
  <si>
    <t>10.1016/j.jorganchem.2011.07.008</t>
  </si>
  <si>
    <t>PAZRAN</t>
  </si>
  <si>
    <t>c1cccc(Oc2ccc(C3=C4C=CC5=[N]4[Zn]46([N]7=C(C(=c8ccc(=C5c5ccc(cc5)Oc5ccccc5)n48)c4ccc(Oc5ccccc5)cc4)C=CC7=C(c4n6c3cc4)c3ccc(cc3)Oc3ccccc3)N3[CH]C=NC=C3)cc2)c1</t>
  </si>
  <si>
    <t>{"audit_creation_date": "2022-03-19", "audit_creation_method": "CSD-ConQuest-V1", "database_code_CSD": "PAZRAN", "database_code_depnum_ccdc_archive": "CCDC 1574860", "chemical_formula_sum": "C72 H48 N6 O4 Zn1", "chemical_formula_moiety": "", "journal_volume": "310", "journal_year": "2022", "journal_page_first": "123048", "journal_name_full": "J.Solid State Chem. ", "publ_author_name": ["R.Soury", "M.Chaabene", "Ashanul Haque", "M.Jabli", "K.M.Alenezi", "S.Latif", "F.Abdulaziz", "A.Bchetnia", "C.Philouze"]}</t>
  </si>
  <si>
    <t>10.1016/j.jssc.2022.123048</t>
  </si>
  <si>
    <t xml:space="preserve">J.Solid State Chem. </t>
  </si>
  <si>
    <t>PIZGEN</t>
  </si>
  <si>
    <t>[Fe]123([C](c4ccccc4)c4ccccc4)([N]4=C5C=CC4=C(c4c(c(c(c(c4F)F)F)F)F)c4ccc(C(=C6C=CC(=[N]26)C(=c2ccc(=C5c5c(c(c(c(c5F)F)F)F)F)n12)c1c(c(c(c(c1F)F)F)F)F)c1c(c(c(c(c1F)F)F)F)F)n34)N1[CH]N(C=C1)CC</t>
  </si>
  <si>
    <t>{"audit_creation_date": "2018-12-19", "audit_creation_method": "CSD-ConQuest-V1", "database_code_CSD": "PIZGEN", "database_code_depnum_ccdc_archive": "CCDC 1856264", "chemical_formula_sum": "C62 H26 F20 Fe1 N6", "chemical_formula_moiety": "", "journal_volume": "58", "journal_year": "2019", "journal_page_first": "143", "journal_name_full": "Inorg.Chem. ", "publ_author_name": ["Haimang Wang", "C.E.Schulz", "Xuehong Wei", "Jianfeng Li"]}</t>
  </si>
  <si>
    <t>10.1021/acs.inorgchem.9b01960</t>
  </si>
  <si>
    <t>PODZEO</t>
  </si>
  <si>
    <t>[Ru]123([C](c4ccccc4)C(F)(F)F)n4c5=C(C6=[N]3C(=C(c3ccc(C(=C7C=CC(=[N]17)C(=c4cc5)c1ccccc1)c1ccccc1)n23)c1ccccc1)C=C6)c1ccccc1</t>
  </si>
  <si>
    <t>{"audit_creation_date": "2008-10-16", "audit_creation_method": "CSD-ConQuest-V1", "database_code_CSD": "PODZEO", "database_code_depnum_ccdc_archive": "CCDC 702371", "chemical_formula_sum": "C52 H33 F3 N4 Ru1", "chemical_formula_moiety": "", "journal_volume": "64", "journal_year": "2008", "journal_page_first": "m1110", "journal_name_full": "Acta Crystallogr.,Sect.E:Struct.Rep.Online ", "publ_author_name": ["H.Yuge", "N.Arakawa", "S.Wada", "T.K.Miyamoto"]}</t>
  </si>
  <si>
    <t>10.1107/s1600536808023374</t>
  </si>
  <si>
    <t>POLPEN</t>
  </si>
  <si>
    <t>[Ni@]123[N]4=C5C(=C(C4=Cc4c(c(c(C=C6C(=C(C(=[N]36)C(=c3c(c(c(=C5)n23)C)C)C(F)(F)F)C)C)n14)C)C)C)C</t>
  </si>
  <si>
    <t>{"audit_creation_date": "2014-10-23", "audit_creation_method": "CSD-ConQuest-V1", "database_code_CSD": "POLPEN", "database_code_depnum_ccdc_archive": "CCDC 1005817", "chemical_formula_sum": "C29 H27 F3 N4 Ni1", "chemical_formula_moiety": "", "journal_volume": "43", "journal_year": "2014", "journal_page_first": "1563", "journal_name_full": "Chem.Lett. ", "publ_author_name": ["M.Suzuki", "Shuto Ishii", "Tyuji Hoshino", "S.Neya"]}</t>
  </si>
  <si>
    <t>10.1246/cl.131149</t>
  </si>
  <si>
    <t xml:space="preserve">Chem.Lett. </t>
  </si>
  <si>
    <t>POLPIR</t>
  </si>
  <si>
    <t>[Ni@]123[N]4=C5C=c6c(c(c(=CC7=[N]3C(=Cc3c(c(c(C(=C4C(=C5CC)CC)C(F)(F)F)n13)CC)CC)C(=C7CC)CC)n26)CC)CC</t>
  </si>
  <si>
    <t>{"audit_creation_date": "2014-10-23", "audit_creation_method": "CSD-ConQuest-V1", "database_code_CSD": "POLPIR", "database_code_depnum_ccdc_archive": "CCDC 1005818", "chemical_formula_sum": "C37 H43 F3 N4 Ni1", "chemical_formula_moiety": "", "journal_volume": "43", "journal_year": "2014", "journal_page_first": "1563", "journal_name_full": "Chem.Lett. ", "publ_author_name": ["M.Suzuki", "Shuto Ishii", "Tyuji Hoshino", "S.Neya"]}</t>
  </si>
  <si>
    <t>PUCPIM</t>
  </si>
  <si>
    <t>P(=O)(O[Os]123(n4c5=CC6=[N]1C(=Cc1c(c(c(C=C7[N]2=C(C=c4c(c5CC)CC)C(=C7CC)CC)n31)CC)CC)C(=C6CC)CC)[N][O])(F)F</t>
  </si>
  <si>
    <t>{"audit_creation_date": "1998-12-15", "audit_creation_method": "CSD-ConQuest-V1", "database_code_CSD": "PUCPIM", "database_code_depnum_ccdc_archive": null, "chemical_formula_sum": "C36 H44 F2 N5 O3 Os1 P1", "chemical_formula_moiety": "", "journal_volume": "37", "journal_year": "1998", "journal_page_first": "533", "journal_name_full": "Inorg.Chem. ", "publ_author_name": ["L.Chen", "M.A.Khan", "G.B.Richter-Addo"]}</t>
  </si>
  <si>
    <t>10.1021/ic9708576</t>
  </si>
  <si>
    <t>QAKJER</t>
  </si>
  <si>
    <t>[Ni@@]123[N]4=C5C(=C(C4=Cc4c(c(c(C=C6C(=C(C(=[N]26)C=c2c(c(c(=C5CCC5OCCCO5)n12)CC)CC)CC)CC)n34)CC)CC)CC)CC</t>
  </si>
  <si>
    <t>{"audit_creation_date": "2001-03-02", "audit_creation_method": "CSD-ConQuest-V1", "database_code_CSD": "QAKJER", "database_code_depnum_ccdc_archive": "CCDC 135226", "chemical_formula_sum": "C42 H54 N4 Ni1 O2", "chemical_formula_moiety": "", "journal_volume": "6", "journal_year": "2000", "journal_page_first": "2721", "journal_name_full": "Chem.-Eur.J. ", "publ_author_name": ["M.O.Senge", "W.W.Kalisch", "I.Bischoff"]}</t>
  </si>
  <si>
    <t>10.1002/1521-3765(20000804)6:15&lt;2721::aid-chem2721&gt;3.0.co;2-z</t>
  </si>
  <si>
    <t>QAKJIV</t>
  </si>
  <si>
    <t>[Ni@]123n4c5=CC6=[N]3C(=Cc3c(c(c(C=C7C(=C(C(=[N]17)C(=c4c(c5CC)CC)c1ccccc1)CC)CC)n23)CC)CC)C(=C6CC)CC</t>
  </si>
  <si>
    <t>{"audit_creation_date": "2001-03-02", "audit_creation_method": "CSD-ConQuest-V1", "database_code_CSD": "QAKJIV", "database_code_depnum_ccdc_archive": "CCDC 135234", "chemical_formula_sum": "C42 H48 N4 Ni1", "chemical_formula_moiety": "", "journal_volume": "6", "journal_year": "2000", "journal_page_first": "2721", "journal_name_full": "Chem.-Eur.J. ", "publ_author_name": ["M.O.Senge", "W.W.Kalisch", "I.Bischoff"]}</t>
  </si>
  <si>
    <t>QAKJUH</t>
  </si>
  <si>
    <t>[Ni@@]123[N]4=C5C(=C(C4=Cc4n2c(C(=C2C(=C(C(=[N]12)C=c1c(c(CC)c(=C5)n31)CC)CC)CC)c1c(OC)ccc(OC)c1)c(CC)c4CC)CC)CC</t>
  </si>
  <si>
    <t>{"audit_creation_date": "2001-03-02", "audit_creation_method": "CSD-ConQuest-V1", "database_code_CSD": "QAKJUH", "database_code_depnum_ccdc_archive": "CCDC 135230", "chemical_formula_sum": "C44 H52 N4 Ni1 O2", "chemical_formula_moiety": "", "journal_volume": "6", "journal_year": "2000", "journal_page_first": "2721", "journal_name_full": "Chem.-Eur.J. ", "publ_author_name": ["M.O.Senge", "W.W.Kalisch", "I.Bischoff"]}</t>
  </si>
  <si>
    <t>QALJAS</t>
  </si>
  <si>
    <t>[Zn]123(n4c5=C(C6=[N]3C(=C(c3ccccc3)c3ccc(C(=C7C=CC(=[N]17)C(=c4cc5)c1ccccc1)c1ccccc1)n23)C=C6)c1ccccc1)O[P@@](c1ccccc1)(CCC)C</t>
  </si>
  <si>
    <t>{"audit_creation_date": "2020-12-15", "audit_creation_method": "CSD-ConQuest-V1", "database_code_CSD": "QALJAS", "database_code_depnum_ccdc_archive": "CCDC 2005419", "chemical_formula_sum": "C55.19 H44.36 N4 O1 P1 Zn1", "chemical_formula_moiety": "", "journal_volume": "12", "journal_year": "2021", "journal_page_first": "1750", "journal_name_full": "Chemical Science ", "publ_author_name": ["D.Chakraborty", "H.Gholami", "A.Sarkar", "L.A.Joyce", "J.E.Jackson", "B.Borhan"]}</t>
  </si>
  <si>
    <t>10.1039/d0sc02940h</t>
  </si>
  <si>
    <t>QAPWOX</t>
  </si>
  <si>
    <t>[Mn]123(N(S(=O)(=O)c4ccc(cc4)C)Cl)n4c5=C(C6=[N]3C(=C(c3ccc(C(=C7C=CC(=[N]17)C(=c4cc5)c1ccccc1)c1ccccc1)n23)c1ccccc1)C=C6)c1ccccc1</t>
  </si>
  <si>
    <t>{"audit_creation_date": "2022-01-24", "audit_creation_method": "CSD-ConQuest-V1", "database_code_CSD": "QAPWOX", "database_code_depnum_ccdc_archive": "CCDC 2070487", "chemical_formula_sum": "C56 H42.5 Cl1 Mn1 N7.5 O2 S1", "chemical_formula_moiety": "", "journal_volume": "60", "journal_year": "2021", "journal_page_first": "26647", "journal_name_full": "Angew.Chem.,Int.Ed. ", "publ_author_name": ["G.P.Van Trieste", "K.A.Reid", "M.H.Hicks", "Anuvab Das", "M.T.Figgins", "N.Bhuvanesh", "A.Ozarowski", "J.Telser", "D.C.Powers"]}</t>
  </si>
  <si>
    <t>10.1002/anie.202108304</t>
  </si>
  <si>
    <t>QAPWUD</t>
  </si>
  <si>
    <t>c12=C(C3=[N]4C(=C(c5ccc6C(=C7C=CC8=[N]7[Mn]4(N(S(=O)(=O)c4ccc(cc4)C)Cl)(n2c(=C8c2c(cccc2Cl)Cl)cc1)(n56)[N][C]C)c1c(cccc1Cl)Cl)c1c(cccc1Cl)Cl)C=C3)c1c(Cl)cccc1Cl</t>
  </si>
  <si>
    <t>{"audit_creation_date": "2022-01-24", "audit_creation_method": "CSD-ConQuest-V1", "database_code_CSD": "QAPWUD", "database_code_depnum_ccdc_archive": "CCDC 2070488", "chemical_formula_sum": "C59 H39 Cl9 Mn1 N9 O2 S1", "chemical_formula_moiety": "", "journal_volume": "60", "journal_year": "2021", "journal_page_first": "26647", "journal_name_full": "Angew.Chem.,Int.Ed. ", "publ_author_name": ["G.P.Van Trieste", "K.A.Reid", "M.H.Hicks", "Anuvab Das", "M.T.Figgins", "N.Bhuvanesh", "A.Ozarowski", "J.Telser", "D.C.Powers"]}</t>
  </si>
  <si>
    <t>QAPXEO</t>
  </si>
  <si>
    <t>[Mn]123(N(S(=O)(=O)c4ccc(cc4)C)Br)n4c5=C(c6ccccc6)C6=[N]1C(=C(c1ccccc1)c1ccc(C(=C7C=CC(=[N]37)C(=c4cc5)c3ccccc3)c3ccccc3)n21)C=C6</t>
  </si>
  <si>
    <t>{"audit_creation_date": "2022-01-24", "audit_creation_method": "CSD-ConQuest-V1", "database_code_CSD": "QAPXEO", "database_code_depnum_ccdc_archive": "CCDC 2070490", "chemical_formula_sum": "C56 H42.5 Br1 Mn1 N7.5 O2 S1", "chemical_formula_moiety": "", "journal_volume": "60", "journal_year": "2021", "journal_page_first": "26647", "journal_name_full": "Angew.Chem.,Int.Ed. ", "publ_author_name": ["G.P.Van Trieste", "K.A.Reid", "M.H.Hicks", "Anuvab Das", "M.T.Figgins", "N.Bhuvanesh", "A.Ozarowski", "J.Telser", "D.C.Powers"]}</t>
  </si>
  <si>
    <t>QAPXIS</t>
  </si>
  <si>
    <t>[Mn]123(N(S(=O)(=O)c4ccc(C)cc4)I)n4c5=C(C6=[N]3C(=C(c3n2c(C(=C2[N]1=C(C(=c4cc5)c1ccccc1)C=C2)c1ccccc1)cc3)c1ccccc1)C=C6)c1ccccc1</t>
  </si>
  <si>
    <t>{"audit_creation_date": "2022-01-24", "audit_creation_method": "CSD-ConQuest-V1", "database_code_CSD": "QAPXIS", "database_code_depnum_ccdc_archive": "CCDC 2070491", "chemical_formula_sum": "C54 H39.5 I1 Mn1 N6.5 O2 S1", "chemical_formula_moiety": "", "journal_volume": "60", "journal_year": "2021", "journal_page_first": "26647", "journal_name_full": "Angew.Chem.,Int.Ed. ", "publ_author_name": ["G.P.Van Trieste", "K.A.Reid", "M.H.Hicks", "Anuvab Das", "M.T.Figgins", "N.Bhuvanesh", "A.Ozarowski", "J.Telser", "D.C.Powers"]}</t>
  </si>
  <si>
    <t>QAPXOY</t>
  </si>
  <si>
    <t>c12=C(C3=[N]4C(=C(c5ccc6C(=C7C=CC8=[N]7[Mn]4(I)(n2c(=C8c2ccccc2)cc1)n56)c1ccccc1)c1ccccc1)C=C3)c1ccccc1</t>
  </si>
  <si>
    <t>{"audit_creation_date": "2022-01-24", "audit_creation_method": "CSD-ConQuest-V1", "database_code_CSD": "QAPXOY", "database_code_depnum_ccdc_archive": "CCDC 2070492", "chemical_formula_sum": "C47 H31 I1 Mn1 N4", "chemical_formula_moiety": "", "journal_volume": "60", "journal_year": "2021", "journal_page_first": "26647", "journal_name_full": "Angew.Chem.,Int.Ed. ", "publ_author_name": ["G.P.Van Trieste", "K.A.Reid", "M.H.Hicks", "Anuvab Das", "M.T.Figgins", "N.Bhuvanesh", "A.Ozarowski", "J.Telser", "D.C.Powers"]}</t>
  </si>
  <si>
    <t>QARCOD</t>
  </si>
  <si>
    <t>[Zn]123(n4c5C(=C6C=CC(=[N]36)C(=c3ccc(=C(C6=[N]1C(=C(c4cc5)c1ccccc1)C=C6)c1ccccc1)n23)c1ccccc1)c1ccccc1)N1[CH]C=C(C2=C([C@@]34[C@@]5(c6c7c8c9c%10c%11c%12c%13c%14c%15c%16c%17c(c3c%15c(c58)c%10%14)c3c4c4c6c5c6c7c7c9c%11c8c9c7c6c6c7c5c4c4c3c3c%17c5c%16c%13c%10c%11c5c5c3c4c7c3c5c%11c(c8c%12%10)c9c63)O2)C(=O)OCC)C=C1</t>
  </si>
  <si>
    <t>{"audit_creation_date": "2012-07-11", "audit_creation_method": "CSD-ConQuest-V1", "database_code_CSD": "QARCOD", "database_code_depnum_ccdc_archive": "CCDC 875723", "chemical_formula_sum": "C114 H37 N5 O3 Zn1", "chemical_formula_moiety": "", "journal_volume": "50", "journal_year": "2011", "journal_page_first": "11162", "journal_name_full": "Inorg.Chem. ", "publ_author_name": ["Li-Cheng Song", "Xu-Feng Liu", "Zhao-Jun Xie", "Fei-Xian Luo", "Hai-Bin Song"]}</t>
  </si>
  <si>
    <t>10.1021/ic201713x</t>
  </si>
  <si>
    <t>QASPAC</t>
  </si>
  <si>
    <t>c1(cc(cc(C)c1C1=c2n3[Ru]45([N]6=C1C=CC6=C(c1c(cc(cc1C)C)C)c1n4c(cc1)C(=C1C=CC(=[N]51)C(=c3cc2)c1c(C)cc(cc1C)C)c1c(cc(cc1C)C)C)(Cl)Cl)C)C</t>
  </si>
  <si>
    <t>{"audit_creation_date": "2005-10-28", "audit_creation_method": "CSD-ConQuest-V1", "database_code_CSD": "QASPAC", "database_code_depnum_ccdc_archive": "CCDC 251907", "chemical_formula_sum": "C56.5 H52.5 Cl3.5 N4 Ru1", "chemical_formula_moiety": "", "journal_volume": "11", "journal_year": "2005", "journal_page_first": "3899", "journal_name_full": "Chem.-Eur.J. ", "publ_author_name": ["Jun-Long Zhang", "Chi-Ming Che"]}</t>
  </si>
  <si>
    <t>10.1002/chem.200401008</t>
  </si>
  <si>
    <t>QAYRIS01</t>
  </si>
  <si>
    <t>[Zn]123(n4c5=C(C6=[N]3C(=C(c3ccc(C(=C7C=CC(=[N]17)C(=c4cc5)c1ccccc1)c1ccccc1)n23)c1ccccc1)C=C6)c1ccccc1)O[CH]N(C)C</t>
  </si>
  <si>
    <t>{"audit_creation_date": "2013-04-04", "audit_creation_method": "CSD-ConQuest-V1", "database_code_CSD": "QAYRIS01", "database_code_depnum_ccdc_archive": "CCDC 872030", "chemical_formula_sum": "C47 H35 N5 O1 Zn1", "chemical_formula_moiety": "", "journal_volume": "28", "journal_year": "2012", "journal_page_first": "1139", "journal_name_full": "Wuji Huaxue Xuebao(Chin.)(Chin.J.Inorg.Chem.) ", "publ_author_name": ["Yun Luo", "Yong-Ping Shi", "Gui-Ping Yao", "Jun Li"]}</t>
  </si>
  <si>
    <t>10.1002/cjoc.201290004</t>
  </si>
  <si>
    <t>QAYRIS02</t>
  </si>
  <si>
    <t>[Zn]123([N]4=C5C=CC4=C(c4n3c(C(=C3C=CC(=[N]23)C(=c2ccc(=C5c3ccccc3)n12)c1ccccc1)c1ccccc1)cc4)c1ccccc1)O[CH]N(C)C</t>
  </si>
  <si>
    <t>{"audit_creation_date": "2015-10-20", "audit_creation_method": "CSD-ConQuest-V1", "database_code_CSD": "QAYRIS02", "database_code_depnum_ccdc_archive": "CCDC 923237", "chemical_formula_sum": "C47 H35 N5 O1 Zn1", "chemical_formula_moiety": "", "journal_volume": "25", "journal_year": "2013", "journal_page_first": "9748", "journal_name_full": "Asian J.Chem. ", "publ_author_name": ["Wei Gao", "Bo Shi", "Xue-Fen Wu"]}</t>
  </si>
  <si>
    <t>10.14233/ajchem.2013.15310</t>
  </si>
  <si>
    <t xml:space="preserve">Asian J.Chem. </t>
  </si>
  <si>
    <t>QAYRIS</t>
  </si>
  <si>
    <t>[Zn]123([N]4=C5C=CC4=C(c4ccc(C(=C6C=CC(=[N]26)C(=c2ccc(=C5c5ccccc5)n12)c1ccccc1)c1ccccc1)n34)c1ccccc1)O[CH]N(C)C</t>
  </si>
  <si>
    <t>{"audit_creation_date": "2006-02-15", "audit_creation_method": "CSD-ConQuest-V1", "database_code_CSD": "QAYRIS", "database_code_depnum_ccdc_archive": "CCDC 296722", "chemical_formula_sum": "C47 H35 N5 O1 Zn1", "chemical_formula_moiety": "", "journal_volume": "62", "journal_year": "2006", "journal_page_first": "m158", "journal_name_full": "Acta Crystallogr.,Sect.E:Struct.Rep.Online ", "publ_author_name": ["S.Lipstman", "I.Goldberg"]}</t>
  </si>
  <si>
    <t>10.1107/s1600536806003527</t>
  </si>
  <si>
    <t>QENJOI</t>
  </si>
  <si>
    <t>c1(ccccc1)C1=C2[N]3=C(C(=c4ccc5=C(C6=[N]7C(=C(c8ccccc8)c8n([Rh]37(n45)[C](c3ccccc3)[NH])c1cc8)C(=C6c1ccccc1)c1ccccc1)c1ccccc1)c1ccccc1)C(=C2c1ccccc1)c1ccccc1</t>
  </si>
  <si>
    <t>{"audit_creation_date": "2001-05-10", "audit_creation_method": "CSD-ConQuest-V1", "database_code_CSD": "QENJOI", "database_code_depnum_ccdc_archive": "CCDC 133534", "chemical_formula_sum": "C75 H50 N5 Rh1", "chemical_formula_moiety": "", "journal_volume": "598", "journal_year": "2000", "journal_page_first": "80", "journal_name_full": "J.Organomet.Chem. ", "publ_author_name": ["Xiang Zhou", "Man Kin Tse", "De-Dong Wu", "T.C.W.Mak", "Kin Shing Chan"]}</t>
  </si>
  <si>
    <t>10.1016/s0022-328x(99)00681-6</t>
  </si>
  <si>
    <t>QEZGEI</t>
  </si>
  <si>
    <t>[C]1(N(C=CC=C1)[Cd]123[N]4=C5C(=c6ccc(=C(c7ccccc7)C7=[N]3C(=C(c3ccccc3)c3n1c(C(=C4C=C5)c1ccccc1)cc3)C=C7)n26)c1ccccc1)N</t>
  </si>
  <si>
    <t>{"audit_creation_date": "2007-07-11", "audit_creation_method": "CSD-ConQuest-V1", "database_code_CSD": "QEZGEI", "database_code_depnum_ccdc_archive": "CCDC 279682", "chemical_formula_sum": "C52 H40 Cd1 N6 O1", "chemical_formula_moiety": "", "journal_volume": "27", "journal_year": "2006", "journal_page_first": "1053", "journal_name_full": "Bull.Korean Chem.Soc. ", "publ_author_name": ["Pu Su Zhao", "Fang Fang Jian", "Lan Zhang"]}</t>
  </si>
  <si>
    <t>10.5012/bkcs.2006.27.7.1053</t>
  </si>
  <si>
    <t xml:space="preserve">Bull.Korean Chem.Soc. </t>
  </si>
  <si>
    <t>QIHYAJ</t>
  </si>
  <si>
    <t>C1(=c2ccc3=C(C4=[N]5[Pd@]6(n23)[N]2=C1C=CC2=C(c1ccccc1)c1n6c(C(=C5C=C4)c2ccccc2)cc1)c1ccncc1)c1ccccc1</t>
  </si>
  <si>
    <t>{"audit_creation_date": "2013-10-24", "audit_creation_method": "CSD-ConQuest-V1", "database_code_CSD": "QIHYAJ", "database_code_depnum_ccdc_archive": "CCDC 968512", "chemical_formula_sum": "C43 H27 N5 Pd1", "chemical_formula_moiety": "", "journal_volume": "52", "journal_year": "2013", "journal_page_first": "10394", "journal_name_full": "Inorg.Chem. ", "publ_author_name": ["C.M.Lemon", "E.Karnas", "M.G.Bawendi", "D.G.Nocera"]}</t>
  </si>
  <si>
    <t>10.1021/ic4011168</t>
  </si>
  <si>
    <t>QIJXEM</t>
  </si>
  <si>
    <t>c1(ccccc1)C1=c2ccc3=C(C4=[N]5[Rh]6(I)(n23)(n2c(C(=C5C=C4)c3ccccc3)ccc2C(=C2C=CC1=[N]62)c1ccccc1)N1[CH]C=CC=C1)c1ccccc1</t>
  </si>
  <si>
    <t>{"audit_creation_date": "2001-06-22", "audit_creation_method": "CSD-ConQuest-V1", "database_code_CSD": "QIJXEM", "database_code_depnum_ccdc_archive": "CCDC 163904", "chemical_formula_sum": "C56 H41 I1 N5 Rh1", "chemical_formula_moiety": "", "journal_volume": "57", "journal_year": "2001", "journal_page_first": "406", "journal_name_full": "Acta Crystallogr.,Sect.C:Cryst.Struct.Commun. ", "publ_author_name": ["G.B.Jameson", "J.P.Collman", "R.Boulatov"]}</t>
  </si>
  <si>
    <t>10.1107/s0108270101001536</t>
  </si>
  <si>
    <t xml:space="preserve">Acta Crystallogr.,Sect.C:Cryst.Struct.Commun. </t>
  </si>
  <si>
    <t>QOQGUY</t>
  </si>
  <si>
    <t>[Ni@]123[N]4=C5C(=C(C4=C(c4ccccc4)c4c(CC)c(c(n34)C(=C3C(=C(C(=[N]23)C(=c2c(c(c(=C5Oc3ccccc3)n12)CC)CC)c1ccccc1)CC)CC)c1ccccc1)CC)CC)CC</t>
  </si>
  <si>
    <t>{"audit_creation_date": "2001-08-17", "audit_creation_method": "CSD-ConQuest-V1", "database_code_CSD": "QOQGUY", "database_code_depnum_ccdc_archive": "CCDC 150531", "chemical_formula_sum": "C61 H62 Cl2 N4 Ni1 O1", "chemical_formula_moiety": "", "journal_volume": "2001", "journal_year": "2001", "journal_page_first": "1735", "journal_name_full": "Eur.J.Org.Chem. ", "publ_author_name": ["M.O.Senge", "I.Bischoff"]}</t>
  </si>
  <si>
    <t>10.1002/1099-0690(200105)2001:9&lt;1735::aid-ejoc1735&gt;3.0.co;2-6</t>
  </si>
  <si>
    <t>QOQHEJ</t>
  </si>
  <si>
    <t>C(C)C1=C(C2=[N]3[Ni@]45n6c(c(c(c6C(=C6C(=C(C(=[N]46)C(=c4c(c(c(=C2C#N)n54)CC)CC)c2ccccc2)CC)CC)CCCC)CC)CC)C(=C13)c1ccccc1)CC</t>
  </si>
  <si>
    <t>{"audit_creation_date": "2001-08-17", "audit_creation_method": "CSD-ConQuest-V1", "database_code_CSD": "QOQHEJ", "database_code_depnum_ccdc_archive": "CCDC 150533", "chemical_formula_sum": "C53 H59 N5 Ni1", "chemical_formula_moiety": "", "journal_volume": "2001", "journal_year": "2001", "journal_page_first": "1735", "journal_name_full": "Eur.J.Org.Chem. ", "publ_author_name": ["M.O.Senge", "I.Bischoff"]}</t>
  </si>
  <si>
    <t>QOQJAH</t>
  </si>
  <si>
    <t>c1ccccc1C1=c2c(c(c3=CC4=[N]5[Ni@]6(n7c(C=C5C(=C4CC)CC)c(CC)c(CC)c7C(=C4[N]6=C1C(=C4CC)CC)c1ccccc1)n23)CC)CC</t>
  </si>
  <si>
    <t>{"audit_creation_date": "2001-08-17", "audit_creation_method": "CSD-ConQuest-V1", "database_code_CSD": "QOQJAH", "database_code_depnum_ccdc_archive": "CCDC 150537", "chemical_formula_sum": "C49 H54 Cl2 N4 Ni1", "chemical_formula_moiety": "", "journal_volume": "2001", "journal_year": "2001", "journal_page_first": "1735", "journal_name_full": "Eur.J.Org.Chem. ", "publ_author_name": ["M.O.Senge", "I.Bischoff"]}</t>
  </si>
  <si>
    <t>QOSBAB</t>
  </si>
  <si>
    <t>c12n3[Ni@@]45n6c(=C(C7=[N]5C(=C1)C=C7N(=O)=O)C(F)(F)F)ccc6=CC1=[N]4C(=Cc3c(CC)c2C)C(=C1C)CC</t>
  </si>
  <si>
    <t>{"audit_creation_date": "2001-08-17", "audit_creation_method": "CSD-ConQuest-V1", "database_code_CSD": "QOSBAB", "database_code_depnum_ccdc_archive": "CCDC 165500", "chemical_formula_sum": "C27 H22 F3 N5 Ni1 O2", "chemical_formula_moiety": "", "journal_volume": "57", "journal_year": "2001", "journal_page_first": "4261", "journal_name_full": "Tetrahedron ", "publ_author_name": ["A.Wickramasinghe", "L.Jaquinod", "D.J.Nurco", "K.M.Smith"]}</t>
  </si>
  <si>
    <t>10.1016/s0040-4020(01)00329-5</t>
  </si>
  <si>
    <t>QOYWAC</t>
  </si>
  <si>
    <t>c1cc2=C(C3=[N]4[Rh]56(n2c1=C(C1=[N]6C(=C(c2ccc(C(=C4C=C3)[C@@H]3C(C)([C@@H]3C(=O)OC)C)n52)[C@@H]2C(C)(C)[C@@H]2C(=O)OC)C=C1)[C@@H]1C(C)(C)[C@@H]1C(=O)OC)(I)[O])[C@@H]1C(C)(C)[C@@H]1C(=O)OC</t>
  </si>
  <si>
    <t>{"audit_creation_date": "2001-08-28", "audit_creation_method": "CSD-ConQuest-V1", "database_code_CSD": "QOYWAC", "database_code_depnum_ccdc_archive": "CCDC 153293", "chemical_formula_sum": "C50 H60 I1 N4 O10 Rh1", "chemical_formula_moiety": "", "journal_volume": "315", "journal_year": "2001", "journal_page_first": "240", "journal_name_full": "Inorg.Chim.Acta ", "publ_author_name": ["J.-P.Simonato", "J.Pecaut", "J.-C.Marchon"]}</t>
  </si>
  <si>
    <t>10.1016/s0020-1693(01)00321-8</t>
  </si>
  <si>
    <t>QQQFQG01</t>
  </si>
  <si>
    <t>C1(=C(C2=[N]3[Ru]45([C][O])(n6c(=C2)c(c(CC)c6=CC2=[N]4C(=Cc4n5c(c(CC)c4CC)C=C13)C(=C2CC)CC)CC)N1[CH]C=CC=C1)CC)CC</t>
  </si>
  <si>
    <t>{"audit_creation_date": "2019-12-13", "audit_creation_method": "CSD-ConQuest-V1", "database_code_CSD": "QQQFQG01", "database_code_depnum_ccdc_archive": "CCDC 1876317", "chemical_formula_sum": "C42 H49 N5 O1 Ru1", "chemical_formula_moiety": "", "journal_volume": "55", "journal_year": "2019", "journal_page_first": "1104", "journal_name_full": "Prot.Met.Phys.Chem.Surf. ", "publ_author_name": ["V.V.Shirokova", "V.S.Tyurin", "N.M.Stanetskaya", "M.N.Sokolova", "A.O.Shkirdova", "I.A.Zamilatskov"]}</t>
  </si>
  <si>
    <t>10.1134/s2070205119060285</t>
  </si>
  <si>
    <t xml:space="preserve">Prot.Met.Phys.Chem.Surf. </t>
  </si>
  <si>
    <t>QUNDUA</t>
  </si>
  <si>
    <t>[Zn]123(N4[CH]C=C(C=C4)/C=C/c4cc5ccc(cc5oc4=O)N(CC)CC)[N]4=C5C(=c6ccc(=C(c7ccccc7)C7=[N]2C(=C(c2n3c(C(=C4C=C5)c3ccccc3)cc2)c2ccccc2)C=C7)n16)c1ccccc1</t>
  </si>
  <si>
    <t>{"audit_creation_date": "2015-06-11", "audit_creation_method": "CSD-ConQuest-V1", "database_code_CSD": "QUNDUA", "database_code_depnum_ccdc_archive": "CCDC 1406092; not CCDC 760916 as published", "chemical_formula_sum": "C78 H64 N6 O2 Zn1", "chemical_formula_moiety": "", "journal_volume": "57", "journal_year": "2015", "journal_page_first": "47", "journal_name_full": "Inorg.Chem.Commun. ", "publ_author_name": ["Guanghui Li", "Aijian Wang", "Jingbao Song", "Qiang Zhou"]}</t>
  </si>
  <si>
    <t>10.1016/j.inoche.2015.05.002</t>
  </si>
  <si>
    <t>QUWTEJ</t>
  </si>
  <si>
    <t>c1cc(ccc1C1=c2ccc3=C(C4=[N]5[Fe]6(n23)([N]2=C1C=CC2=C(c1ccc(C(=C5C=C4)c2ccc(OC)cc2)n61)c1ccc(cc1)OC)(N(c1ccccc1)[O])N1[CH]N(C=C1)C)c1ccc(cc1)OC)OC</t>
  </si>
  <si>
    <t>{"audit_creation_date": "2015-11-04", "audit_creation_method": "CSD-ConQuest-V1", "database_code_CSD": "QUWTEJ", "database_code_depnum_ccdc_archive": "CCDC 1040734", "chemical_formula_sum": "C58 H47 Fe1 N7 O5", "chemical_formula_moiety": "", "journal_volume": "44", "journal_year": "2015", "journal_page_first": "20121", "journal_name_full": "Dalton Trans. ", "publ_author_name": ["Nan Xu", "J.H.Christian", "N.S.Dalal", "E.G.Abucayon", "Colin Lingafelt", "D.R.Powell", "G.B.Richter-Addo"]}</t>
  </si>
  <si>
    <t>10.1039/c5dt03074a</t>
  </si>
  <si>
    <t>REFPOH</t>
  </si>
  <si>
    <t>C12=Cc3ccc4C(=C5C=CC6=[N]5[Ni@]5([N]1=C(C=C2)C(=c1ccc(=C6)n51)C(C)(C)C)n34)C(C)(C)C</t>
  </si>
  <si>
    <t>{"audit_creation_date": "1997-09-01", "audit_creation_method": "CSD-ConQuest-V1", "database_code_CSD": "REFPOH", "database_code_depnum_ccdc_archive": null, "chemical_formula_sum": "C28 H28 N4 Ni1", "chemical_formula_moiety": "", "journal_volume": "118", "journal_year": "1996", "journal_page_first": "12975", "journal_name_full": "J.Am.Chem.Soc. ", "publ_author_name": ["Xing-Zhi Song", "W.Jentzen", "Song-Ling Jia", "L.Jaquinod", "D.J.Nurco", "C.J.Medforth", "K.M.Smith", "J.A.Shelnutt"]}</t>
  </si>
  <si>
    <t>10.1021/ja961676q</t>
  </si>
  <si>
    <t>REHGOB</t>
  </si>
  <si>
    <t>c1cc(C2=C3[N]4=C(C(=c5ccc6=C(C7=[N]8[Zn]4(n56)(n4c(C(=C8C=C7)c5ccc(cc5)C#N)ccc24)N2[CH]C=CC=C2)c2ccc(C#N)cc2)c2ccc4c(cccc4)n2)C=C3)ccc1C#N</t>
  </si>
  <si>
    <t>{"audit_creation_date": "2006-06-21", "audit_creation_method": "CSD-ConQuest-V1", "database_code_CSD": "REHGOB", "database_code_depnum_ccdc_archive": "CCDC 605244", "chemical_formula_sum": "C64 H43 N11 O3 Zn1", "chemical_formula_moiety": "", "journal_volume": "62", "journal_year": "2006", "journal_page_first": "m753", "journal_name_full": "Acta Crystallogr.,Sect.E:Struct.Rep.Online ", "publ_author_name": ["S.Muniappan", "S.Liptsman", "I.Goldberg"]}</t>
  </si>
  <si>
    <t>10.1107/s1600536806008026</t>
  </si>
  <si>
    <t>RIGWUC</t>
  </si>
  <si>
    <t>[Ni@]123[N]4=C5C=CC4=C(c4c(c(c(C(=C6C=CC(=[N]26)C(=c2c(c(c(=C5c5ccccc5)n12)c1ccccc1)c1ccccc1)c1ccccc1)c1ccccc1)n34)c1ccccc1)c1ccccc1)c1ccccc1</t>
  </si>
  <si>
    <t>{"audit_creation_date": "2018-07-06", "audit_creation_method": "CSD-ConQuest-V1", "database_code_CSD": "RIGWUC", "database_code_depnum_ccdc_archive": "CCDC 1469723", "chemical_formula_sum": "C70 H46 Cl6 N4 Ni1", "chemical_formula_moiety": "", "journal_volume": "59", "journal_year": "2018", "journal_page_first": "415", "journal_name_full": "Zh.Strukt.Khim.(Russ.)(J.Struct.Chem.) ", "publ_author_name": ["P.Bhyrappa", "M.Sankar", "K.Karunanithi", "B.Varghese"]}</t>
  </si>
  <si>
    <t>10.1134/s0022476618020233</t>
  </si>
  <si>
    <t xml:space="preserve">Zh.Strukt.Khim.(Russ.)(J.Struct.Chem.) </t>
  </si>
  <si>
    <t>RIHXEL</t>
  </si>
  <si>
    <t>[N]12=C3C(=C(C)C2=C(c2c(c(c4C(=C5C(=C(C6=[N]5[Ni@@]1(n1c(=C6)c(c(c1=C3)CCC(=O)OC)C)n24)CC)C)c1ccc(cc1)CCl)C)CC)C=O)CCC(=O)OC</t>
  </si>
  <si>
    <t>{"audit_creation_date": "1997-11-11", "audit_creation_method": "CSD-ConQuest-V1", "database_code_CSD": "RIHXEL", "database_code_depnum_ccdc_archive": null, "chemical_formula_sum": "C44 H45 Cl1 N4 Ni1 O5", "chemical_formula_moiety": "", "journal_volume": "36", "journal_year": "1997", "journal_page_first": "1149", "journal_name_full": "Inorg.Chem. ", "publ_author_name": ["M.O.Senge", "C.J.Medforth", "T.P.Forsyth", "D.A.Lee", "M.M.Olmstead", "W.Jentzen", "R.K.Pandey", "J.A.Shelnutt", "K.M.Smith"]}</t>
  </si>
  <si>
    <t>10.1021/ic961156w</t>
  </si>
  <si>
    <t>RIHXOV</t>
  </si>
  <si>
    <t>[Ni@@]123n4c5c(C)c(CC)c4C(=C4C(=C(C)C(=[N]14)C(=c1c(C)c(CC)c(=CC4=[N]3C(=C5c3ccccc3)C(=C4CC)C)n21)c1ccccc1)CC)C=O</t>
  </si>
  <si>
    <t>{"audit_creation_date": "1997-11-11", "audit_creation_method": "CSD-ConQuest-V1", "database_code_CSD": "RIHXOV", "database_code_depnum_ccdc_archive": null, "chemical_formula_sum": "C45 H44 N4 Ni1 O1", "chemical_formula_moiety": "", "journal_volume": "36", "journal_year": "1997", "journal_page_first": "1149", "journal_name_full": "Inorg.Chem. ", "publ_author_name": ["M.O.Senge", "C.J.Medforth", "T.P.Forsyth", "D.A.Lee", "M.M.Olmstead", "W.Jentzen", "R.K.Pandey", "J.A.Shelnutt", "K.M.Smith"]}</t>
  </si>
  <si>
    <t>RIRNUB</t>
  </si>
  <si>
    <t>Cc1ccc(cc1)S(=O)(=O)N[Ru]123(n4c5=C(C6=[N]3C(=C(c3ccc(C(=C7C=CC(=[N]17)C(=c4cc5)c1ccccc1)c1ccccc1)n23)c1ccccc1)C=C6)c1ccccc1)n1cccn1</t>
  </si>
  <si>
    <t>{"audit_creation_date": "1997-11-21", "audit_creation_method": "CSD-ConQuest-V1", "database_code_CSD": "RIRNUB", "database_code_depnum_ccdc_archive": "CCDC 1250478", "chemical_formula_sum": "C54 H39 N7 O2 Ru1 S1", "chemical_formula_moiety": "", "journal_volume": null, "journal_year": "1997", "journal_page_first": "1655", "journal_name_full": "Chem.Commun. ", "publ_author_name": ["Sze-Man Au", "Wai-Hong Fung", "Ming-Chuan Cheng", "Chi-Ming Che", "Shie-Ming Peng"]}</t>
  </si>
  <si>
    <t>10.1039/a702093g</t>
  </si>
  <si>
    <t>ROGSAK</t>
  </si>
  <si>
    <t>[Mn]123(n4c5=C(c6cc(C(C)(C)C)cc(c6)C(C)(C)C)C6=[N]2C(=Cc2ccc(n12)C(=C1C=CC(=[N]31)C=c4cc5)c1cc(cc(C(C)(C)C)c1)C(C)(C)C)C=C6)Cl</t>
  </si>
  <si>
    <t>{"audit_creation_date": "2019-04-16", "audit_creation_method": "CSD-ConQuest-V1", "database_code_CSD": "ROGSAK", "database_code_depnum_ccdc_archive": "CCDC 1542170", "chemical_formula_sum": "C50 H56 Cl5 Mn1 N4", "chemical_formula_moiety": "", "journal_volume": "48", "journal_year": "2019", "journal_page_first": "7394", "journal_name_full": "Dalton Trans. ", "publ_author_name": ["J.Rai", "B.Basumatary", "S.Bhandary", "M.Murugavel", "J.Sankar"]}</t>
  </si>
  <si>
    <t>10.1039/c9dt00965e</t>
  </si>
  <si>
    <t>ROVCIQ</t>
  </si>
  <si>
    <t>c1c(cccc1)C1=C2C=CC3=[N]2[Zn]24([N]5=C(C=CC5=C(c5ccc1n45)c1ccccc1)C(=c1ccc(=C3c3ccccc3)n21)c1ccccc1)N1[CH]C=C(C=C1)N(C)C</t>
  </si>
  <si>
    <t>{"audit_creation_date": "2014-10-16", "audit_creation_method": "CSD-ConQuest-V1", "database_code_CSD": "ROVCIQ", "database_code_depnum_ccdc_archive": "CCDC 924014", "chemical_formula_sum": "C51 H38 N6 Zn1", "chemical_formula_moiety": "", "journal_volume": "84", "journal_year": "2014", "journal_page_first": "1206", "journal_name_full": "Zh.Obshch.Khim.(Russ.)(Russ.J.Gen.Chem.) ", "publ_author_name": ["P.S.Sobolev", "V.P.Andreev", "T.A.Ekimova"]}</t>
  </si>
  <si>
    <t>RUTNEZ</t>
  </si>
  <si>
    <t>[Zn]123(n4c5C(=C6C=CC(=[N]36)C(=c3n2c(=C(C2=[N]1C(=C(c4cc5)c1ccccc1)C=C2)c1ccccc1)c(CC)c3CC)c1ccccc1)c1ccccc1)N1[CH]C(=CC=C1)C</t>
  </si>
  <si>
    <t>{"audit_creation_date": "1998-03-12", "audit_creation_method": "CSD-ConQuest-V1", "database_code_CSD": "RUTNEZ", "database_code_depnum_ccdc_archive": null, "chemical_formula_sum": "C54 H43 N5 Zn1", "chemical_formula_moiety": "", "journal_volume": "36", "journal_year": "1997", "journal_page_first": "6103", "journal_name_full": "Inorg.Chem. ", "publ_author_name": ["M.O.Senge", "W.W.Kalisch"]}</t>
  </si>
  <si>
    <t>10.1021/ic970765g</t>
  </si>
  <si>
    <t>RUTPEB</t>
  </si>
  <si>
    <t>c1c(cccc1)C1=C2[N]3=C(C(=C2CC)CC)C(=c2n4c(=C(C5=[N]6C(=C(c7c(c(c1n7[Zn]346N1[CH]C=CC=C1)CC)CC)c1ccccc1)C=C5)c1ccccc1)cc2)c1ccccc1</t>
  </si>
  <si>
    <t>{"audit_creation_date": "1998-03-12", "audit_creation_method": "CSD-ConQuest-V1", "database_code_CSD": "RUTPEB", "database_code_depnum_ccdc_archive": null, "chemical_formula_sum": "C57 H49 N5 Zn1", "chemical_formula_moiety": "", "journal_volume": "36", "journal_year": "1997", "journal_page_first": "6103", "journal_name_full": "Inorg.Chem. ", "publ_author_name": ["M.O.Senge", "W.W.Kalisch"]}</t>
  </si>
  <si>
    <t>RUTQIG</t>
  </si>
  <si>
    <t>c12=C(C3=[N]4C(=C(c5c(c(c6C(=C7C(=C(C8=[N]7[Ni@@]4(n2c(=C8c2ccccc2)c(c1CC)CC)n56)CC)CC)c1ccccc1)CC)CC)c1ccccc1)C=C3)c1ccccc1</t>
  </si>
  <si>
    <t>{"audit_creation_date": "1998-03-12", "audit_creation_method": "CSD-ConQuest-V1", "database_code_CSD": "RUTQIG", "database_code_depnum_ccdc_archive": null, "chemical_formula_sum": "C56 H52 N4 Ni1", "chemical_formula_moiety": "", "journal_volume": "36", "journal_year": "1997", "journal_page_first": "6103", "journal_name_full": "Inorg.Chem. ", "publ_author_name": ["M.O.Senge", "W.W.Kalisch"]}</t>
  </si>
  <si>
    <t>SAHNAR</t>
  </si>
  <si>
    <t>[Rh]123([N]4=C5C=CC4=C(c4ccc(C(=C6C=CC(=[N]26)C(=c2ccc(=C5c5ccccc5)n12)c1ccccc1)c1ccccc1)n34)c1ccccc1)(N1[CH]C=CC=C1)Cl</t>
  </si>
  <si>
    <t>{"audit_creation_date": "2005-03-24", "audit_creation_method": "CSD-ConQuest-V1", "database_code_CSD": "SAHNAR", "database_code_depnum_ccdc_archive": "CCDC 256831", "chemical_formula_sum": "C50 H34 Cl4 N5 Rh1", "chemical_formula_moiety": "", "journal_volume": "20", "journal_year": "2004", "journal_page_first": "5454", "journal_name_full": "Langmuir ", "publ_author_name": ["T.Ikeda", "M.Asakawa", "M.Goto", "K.Miyake", "T.Ishida", "T.Shimizu"]}</t>
  </si>
  <si>
    <t>10.1021/la049577a</t>
  </si>
  <si>
    <t xml:space="preserve">Langmuir </t>
  </si>
  <si>
    <t>SARROV</t>
  </si>
  <si>
    <t>[Mn]123(n4c5C(=C6C(=C(C)C(=[N]36)C(=c3c(c(c(=C(c6ccccc6)C6=[N]2C(=C(c4c(c5C)C)c2ccccc2)C(=C6C)C)n13)C)C)c1ccccc1)C)c1ccccc1)Cl</t>
  </si>
  <si>
    <t>{"audit_creation_date": "2017-02-13", "audit_creation_method": "CSD-ConQuest-V1", "database_code_CSD": "SARROV", "database_code_depnum_ccdc_archive": "CCDC 1434553", "chemical_formula_sum": "C52 H44 Cl1 Mn1 N4", "chemical_formula_moiety": "", "journal_volume": "20", "journal_year": "2016", "journal_page_first": "318", "journal_name_full": "J.Porphyrins Phthalocyanines ", "publ_author_name": ["A.Ikezaki", "M.Nakamura"]}</t>
  </si>
  <si>
    <t>10.1142/s1088424616500085</t>
  </si>
  <si>
    <t>SEBDOT</t>
  </si>
  <si>
    <t>C1=CC2=[N]3[Rh]45(P67(c8cccc9c8c(ccc9)O6)c6cccc8c6c(ccc8)O7)n6c(=C2c2ccccc2)ccc6=C(C2=[N]4C(=C(c4ccc(C(=C13)c1ccccc1)n54)c1ccccc1)C=C2)c1ccccc1</t>
  </si>
  <si>
    <t>{"audit_creation_date": "2006-05-18", "audit_creation_method": "CSD-ConQuest-V1", "database_code_CSD": "SEBDOT", "database_code_depnum_ccdc_archive": "CCDC 296991", "chemical_formula_sum": "C71 H48 N4 O2 P1 Rh1", "chemical_formula_moiety": "", "journal_volume": "45", "journal_year": "2006", "journal_page_first": "502", "journal_name_full": "Inorg.Chem. ", "publ_author_name": ["K.Kajiyama", "T.K.Miyamoto", "K.Sawano"]}</t>
  </si>
  <si>
    <t>10.1002/ejic.200690007</t>
  </si>
  <si>
    <t>SEVCUR</t>
  </si>
  <si>
    <t>c1ccc(C2=C3C=CC4=[N]3[Fe]35([C][Re]([Re]([C][O])([C][O])([C][O])([C][O])[C][O])([C][O])([C][O])([C][O])[C][O])n6c(=C4c4ccccc4)ccc6=C(c4ccccc4)C4=[N]3C(=C(c3ccc2n53)c2ccccc2)C=C4)cc1</t>
  </si>
  <si>
    <t>{"audit_creation_date": "1991-01-24", "audit_creation_method": "CSD-ConQuest-V1", "database_code_CSD": "SEVCUR", "database_code_depnum_ccdc_archive": null, "chemical_formula_sum": "C54 H28 Fe1 N4 O9 Re2", "chemical_formula_moiety": "", "journal_volume": "29", "journal_year": "1990", "journal_page_first": "318", "journal_name_full": "Angew.Chem.,Int.Ed. ", "publ_author_name": ["W.Beck", "W.Knauer", "C.Robl"]}</t>
  </si>
  <si>
    <t>10.1002/anie.199014971</t>
  </si>
  <si>
    <t>SIMFAV</t>
  </si>
  <si>
    <t>[Sc]123([C@H]4C=CC=C4)n4c5=CC6=[N]3C(=Cc3c(CC)c(CC)c(C=C7C(=C(C(=[N]17)C=c4c(c5CC)CC)CC)CC)n23)C(=C6CC)CC</t>
  </si>
  <si>
    <t>{"audit_creation_date": "1991-07-10", "audit_creation_method": "CSD-ConQuest-V1", "database_code_CSD": "SIMFAV", "database_code_depnum_ccdc_archive": null, "chemical_formula_sum": "C41 H49 N4 Sc1", "chemical_formula_moiety": "", "journal_volume": "112", "journal_year": "1990", "journal_page_first": "8620", "journal_name_full": "J.Am.Chem.Soc. ", "publ_author_name": ["J.Arnold", "C.G.Hoffman"]}</t>
  </si>
  <si>
    <t>10.1021/ja00179a077</t>
  </si>
  <si>
    <t>SOFYIY</t>
  </si>
  <si>
    <t>[P]([Ir]123(S)[N]4=C5C=CC4=C(c4ccc(n34)C(=C3[N]2=C(C(=c2ccc(=C5c4ccccc4)n12)c1ccccc1)C=C3)c1ccccc1)c1ccccc1)(c1ccccc1)(c1ccccc1)c1ccccc1</t>
  </si>
  <si>
    <t>{"audit_creation_date": "2019-05-21", "audit_creation_method": "CSD-ConQuest-V1", "database_code_CSD": "SOFYIY", "database_code_depnum_ccdc_archive": "CCDC 1856297", "chemical_formula_sum": "C62 H44 Ir1 N4 P1 S1", "chemical_formula_moiety": "", "journal_volume": "48", "journal_year": "2019", "journal_page_first": "8340", "journal_name_full": "Dalton Trans. ", "publ_author_name": ["Shiu-Chun So", "Wai-Man Cheung", "Wai-Hang Chiu", "M.de Vere-Tucker", "H.H.-Y Sung", "I.D.Williams", "Wa-Hung Leung"]}</t>
  </si>
  <si>
    <t>10.1039/c9dt00244h</t>
  </si>
  <si>
    <t>SOMDEF</t>
  </si>
  <si>
    <t>[Co]123(n4c5C(=C6C(=C(C(=[N]36)C(=c3c(c(c(=C(C6=[N]1C(=C(c4c(c5CC)[C](C)C)c1ccccc1)C(=C6CC)CC)c1ccccc1)n23)[C](C)C)CC)c1ccccc1)CC)CC)c1ccccc1)Cl</t>
  </si>
  <si>
    <t>{"audit_creation_date": "2014-10-31", "audit_creation_method": "CSD-ConQuest-V1", "database_code_CSD": "SOMDEF", "database_code_depnum_ccdc_archive": "CCDC 957856", "chemical_formula_sum": "C60 H60 Cl1 Co1 N4", "chemical_formula_moiety": "", "journal_volume": "53", "journal_year": "2014", "journal_page_first": "8848", "journal_name_full": "Inorg.Chem. ", "publ_author_name": ["Ru-Jen Cheng", "Yu-Hsuan Chen", "Ching-Chin Chen", "Gene-Hsiang Lee", "Shie-Ming Peng", "Peter Ping-Yu Chen"]}</t>
  </si>
  <si>
    <t>10.1021/ic501120k</t>
  </si>
  <si>
    <t>SOMDIJ</t>
  </si>
  <si>
    <t>[Co]123(n4c5C(=C6C(=C(C(=[N]36)C(=c3c(c(c(=C(c6ccccc6)C6=[N]1C(=C(c4c(c5CC)CC)c1ccccc1)C(=C6[C](C)C)CC)n23)CC)CC)c1ccccc1)[C](C)C)CC)c1ccccc1)Br</t>
  </si>
  <si>
    <t>SOQYIG</t>
  </si>
  <si>
    <t>C1(=C(c2ccccc2)C2=C(c3c(c(c4C(=C5C(=C(C6=[N]5[Ru]5([C][O])(n7c(=C6c6ccccc6)c(c(c7=C(c6ccccc6)C1=[N]25)c1ccccc1)c1ccccc1)(n34)N1[CH]C=CC=C1)c1ccccc1)c1ccccc1)c1ccccc1)c1ccccc1)c1ccccc1)c1ccccc1)c1ccccc1</t>
  </si>
  <si>
    <t>{"audit_creation_date": "1999-03-02", "audit_creation_method": "CSD-ConQuest-V1", "database_code_CSD": "SOQYIG", "database_code_depnum_ccdc_archive": null, "chemical_formula_sum": "C110 H77 N5 O1 Ru1", "chemical_formula_moiety": "", "journal_volume": null, "journal_year": "1998", "journal_page_first": "1805", "journal_name_full": "J.Chem.Soc.,Dalton Trans. ", "publ_author_name": ["Chun-Jing Liu", "Wing-Yiu Yu", "Shie-Ming Peng", "T.C.W.Mak", "Chi-Ming Che"]}</t>
  </si>
  <si>
    <t>10.1039/a800535d</t>
  </si>
  <si>
    <t>SUNXUV</t>
  </si>
  <si>
    <t>C(#N)c1c2n3[Ni@]45n6c(=C(C7=[N]5C(=C(c3c1C#N)c1ccccc1)C(=C7c1ccccc1)c1ccccc1)c1ccccc1)c(c(C#N)c6=C(C1=[N]4C(=C2c2ccccc2)C(=C1c1ccccc1)c1ccccc1)c1ccccc1)C#N</t>
  </si>
  <si>
    <t>{"audit_creation_date": "2010-03-10", "audit_creation_method": "CSD-ConQuest-V1", "database_code_CSD": "SUNXUV", "database_code_depnum_ccdc_archive": "CCDC 735566", "chemical_formula_sum": "C79 H56 Cl1 N8 Ni1", "chemical_formula_moiety": "", "journal_volume": "48", "journal_year": "2009", "journal_page_first": "3954", "journal_name_full": "Inorg.Chem. ", "publ_author_name": ["P.Bhyrappa", "C.Arunkumar", "B.Varghese"]}</t>
  </si>
  <si>
    <t>10.1021/ic801618m</t>
  </si>
  <si>
    <t>TAQWUG</t>
  </si>
  <si>
    <t>CCC1=C(C2=Cc3n4[Zn@@]56n7c(=CC1=[N]26)c(c(CC)c7=C(C1=[N]5C(=Cc4c(c3CC)CC)C(=C1CC)CC)C(=O)OC)CC)CC</t>
  </si>
  <si>
    <t>{"audit_creation_date": "2017-03-29", "audit_creation_method": "CSD-ConQuest-V1", "database_code_CSD": "TAQWUG", "database_code_depnum_ccdc_archive": "CCDC 1444312", "chemical_formula_sum": "C38 H46 N4 O2 Zn1", "chemical_formula_moiety": "", "journal_volume": "21", "journal_year": "2016", "journal_page_first": "252", "journal_name_full": "Molecules ", "publ_author_name": ["M.Suzuki", "S.Neya", "Y.Nishigaichi"]}</t>
  </si>
  <si>
    <t>10.3390/molecules21030252</t>
  </si>
  <si>
    <t xml:space="preserve">Molecules </t>
  </si>
  <si>
    <t>TEJXEP</t>
  </si>
  <si>
    <t>[Zn]123([N]4=C5C(=c6ccc(=C(C7=[N]2C(=Cc2n1c(C(=C4C=C5)c1ccc(cc1)C)cc2)C=C7)c1ccc(cc1)C)n36)Sc1ccccn1)N1[CH]C=CC=C1</t>
  </si>
  <si>
    <t>{"audit_creation_date": "2022-05-03", "audit_creation_method": "CSD-ConQuest-V1", "database_code_CSD": "TEJXEP", "database_code_depnum_ccdc_archive": "CCDC 2122505", "chemical_formula_sum": "C44 H32 N6 S1 Zn1", "chemical_formula_moiety": "", "journal_volume": "61", "journal_year": "2022", "journal_page_first": "7387", "journal_name_full": "Inorg.Chem. ", "publ_author_name": ["M.Berthelot", "F.Akhssas", "A.K.D.Dime", "A.Bousfiha", "J.Echaubard", "G.Souissi", "H.Cattey", "D.Lucas", "P.Fleurat-Lessard", "C.H.Devillers"]}</t>
  </si>
  <si>
    <t>10.1021/acs.inorgchem.2c00435</t>
  </si>
  <si>
    <t>TEMFAS01</t>
  </si>
  <si>
    <t>C(C)C1=C(CC)C2=[N]3[Ru]45(n6c(=CC7=[N]4C(=Cc4c(c(c(C=C13)n54)CC)CC)C(=C7CC)CC)c(c(c6=C2)CC)CC)([C][O])O[N]N(CC)CC</t>
  </si>
  <si>
    <t>{"audit_creation_date": "1999-06-22", "audit_creation_method": "CSD-ConQuest-V1", "database_code_CSD": "TEMFAS01", "database_code_depnum_ccdc_archive": null, "chemical_formula_sum": "C41 H54 N6 O2 Ru1", "chemical_formula_moiety": "", "journal_volume": "37", "journal_year": "1998", "journal_page_first": "4677", "journal_name_full": "Inorg.Chem. ", "publ_author_name": ["Li Chen", "Geun-Bae Yi", "Li-Sheng Wang", "U.R.Dharmawardana", "A.C.Dart", "M.A.Khan", "G.B.Richter-Addo"]}</t>
  </si>
  <si>
    <t>10.1021/ic9801591</t>
  </si>
  <si>
    <t>TEMFAS</t>
  </si>
  <si>
    <t>n12[Ru]34([N]5=C6C(=C(C5=Cc5c(c(c(C=C7C(=C(C(=[N]37)C=c1c(c(c2=C6)CC)CC)CC)CC)n45)CC)CC)CC)CC)([C][O])O[N]N(CC)CC</t>
  </si>
  <si>
    <t>{"audit_creation_date": "1997-02-21", "audit_creation_method": "CSD-ConQuest-V1", "database_code_CSD": "TEMFAS", "database_code_depnum_ccdc_archive": null, "chemical_formula_sum": "C41 H54 N6 O2 Ru1", "chemical_formula_moiety": "", "journal_volume": "35", "journal_year": "1996", "journal_page_first": "3453", "journal_name_full": "Inorg.Chem. ", "publ_author_name": ["Geun-Bae Yi", "M.A.Khan", "G.B.Richter-Addo"]}</t>
  </si>
  <si>
    <t>10.1021/ic951600f</t>
  </si>
  <si>
    <t>TEMKOL</t>
  </si>
  <si>
    <t>[Ni@@]123n4c5=CC6=[N]3C(=Cc3ccc(n23)C=C2[N]1=C(C=C2)C=c4cc5)C=C6</t>
  </si>
  <si>
    <t>{"audit_creation_date": "1997-02-21", "audit_creation_method": "CSD-ConQuest-V1", "database_code_CSD": "TEMKOL", "database_code_depnum_ccdc_archive": null, "chemical_formula_sum": "C20 H12 N4 Ni1", "chemical_formula_moiety": "", "journal_volume": "35", "journal_year": "1996", "journal_page_first": "3559", "journal_name_full": "Inorg.Chem. ", "publ_author_name": ["W.Jentzen", "I.Turowska-Tyrk", "W.R.Scheidt", "J.A.Shelnutt"]}</t>
  </si>
  <si>
    <t>10.1021/ic960157l</t>
  </si>
  <si>
    <t>TEVMOZ</t>
  </si>
  <si>
    <t>CC(c1ccc(c2ccc(c3c4c(ccc5ccc(cc45)c4cc(ccc4)C(C)(C)C)c(C4=c5ccc6=C(C7=[N]8C(=C(c9ccc%10C(=C%11C=CC4=[N]%11[Ni@@]8(n56)n9%10)c4c(cc(cc4C)C)C)c4c5ccc6ccc(cc6c5c(c5c6cc(ccc6ccc45)c4cccc(C(C)(C)C)c4)c4ccc(cc4)c4ccc(cc4)C(C)(C)C)c4cc(ccc4)C(C)(C)C)C=C7)c4c(cc(cc4C)C)C)c4c3c3cc(ccc3cc4)c3cc(C(C)(C)C)ccc3)cc2)cc1)(C)C</t>
  </si>
  <si>
    <t>{"audit_creation_date": "2018-05-01", "audit_creation_method": "CSD-ConQuest-V1", "database_code_CSD": "TEVMOZ", "database_code_depnum_ccdc_archive": "CCDC 1835706", "chemical_formula_sum": "C157 H142 Cl6 N4 Ni1", "chemical_formula_moiety": "", "journal_volume": null, "journal_year": "2018", "journal_page_first": null, "journal_name_full": "CSD Communication(Private Communication) ", "publ_author_name": ["Qiang Chen"]}</t>
  </si>
  <si>
    <t>10.23919/icact.2018.8323896</t>
  </si>
  <si>
    <t>TEVPIW</t>
  </si>
  <si>
    <t>S1C(SCC1)C1=c2n3[Ni@@]45[N]6=C(C=CC6=C(c6n5c(cc6)C(=C5[N]4=C1C=C5)c1cc(cc(c1)C(C)(C)C)C(C)(C)C)C#C[Si](C)(C)C)C(=c3cc2)c1cc(cc(c1)C(C)(C)C)C(C)(C)C</t>
  </si>
  <si>
    <t>{"audit_creation_date": "2018-05-01", "audit_creation_method": "CSD-ConQuest-V1", "database_code_CSD": "TEVPIW", "database_code_depnum_ccdc_archive": "CCDC 1822193", "chemical_formula_sum": "C58 H68 Cl2 N4 Ni1 S2 Si1", "chemical_formula_moiety": "", "journal_volume": "16", "journal_year": "2018", "journal_page_first": "3648", "journal_name_full": "Org.Biomol.Chem. ", "publ_author_name": ["M.J.Smith", "I.M.Blake", "W.Clegg", "H.L.Anderson"]}</t>
  </si>
  <si>
    <t>10.1039/c8ob00491a</t>
  </si>
  <si>
    <t>TEZREY</t>
  </si>
  <si>
    <t>c1cc(ccc1C1=C2C=CC3=[N]2[Ni@]24n5c(=C(C6=[N]2C(=C(c2ccc1n42)c1ccccc1)C=C6)c1ccc(cc1)C)ccc5=C3Sc1ccccn1)C</t>
  </si>
  <si>
    <t>{"audit_creation_date": "2018-05-04", "audit_creation_method": "CSD-ConQuest-V1", "database_code_CSD": "TEZREY", "database_code_depnum_ccdc_archive": "CCDC 1557313", "chemical_formula_sum": "C46 H32 Cl3 N5 Ni1 S1", "chemical_formula_moiety": "", "journal_volume": "54", "journal_year": "2018", "journal_page_first": "5414", "journal_name_full": "Chem.Commun. ", "publ_author_name": ["M.Berthelot", "G.Hoffmann", "A.Bousfiha", "J.Echaubard", "J.Roger", "H.Cattey", "A.Romieu", "D.Lucas", "P.Fleurat-Lessard", "C.H.Devillers"]}</t>
  </si>
  <si>
    <t>10.1039/c8cc01375f</t>
  </si>
  <si>
    <t>TEZRIC</t>
  </si>
  <si>
    <t>[Ni@]123n4c5=C(Sc6ncccc6)C6=[N]1C(=C(c1ccc(C)cc1)c1ccc(n21)C=C1[N]3=C(C(=c4cc5)c2ccc(C)cc2)C=C1)C=C6</t>
  </si>
  <si>
    <t>{"audit_creation_date": "2018-05-04", "audit_creation_method": "CSD-ConQuest-V1", "database_code_CSD": "TEZRIC", "database_code_depnum_ccdc_archive": "CCDC 1557314", "chemical_formula_sum": "C39 H27 N5 Ni1 S1", "chemical_formula_moiety": "", "journal_volume": "54", "journal_year": "2018", "journal_page_first": "5414", "journal_name_full": "Chem.Commun. ", "publ_author_name": ["M.Berthelot", "G.Hoffmann", "A.Bousfiha", "J.Echaubard", "J.Roger", "H.Cattey", "A.Romieu", "D.Lucas", "P.Fleurat-Lessard", "C.H.Devillers"]}</t>
  </si>
  <si>
    <t>TIFCIX</t>
  </si>
  <si>
    <t>C12=C(c3ccc4C(=C5C=CC6=[N]5[Co]5(C(=C)c7ccc(cc7)F)(n34)[N]2=C(C=C1)C(=c1ccc(=C6c2ccc(cc2)OC)n51)c1ccc(cc1)OC)c1ccc(cc1)OC)c1ccc(OC)cc1</t>
  </si>
  <si>
    <t>{"audit_creation_date": "2018-05-08", "audit_creation_method": "CSD-ConQuest-V1", "database_code_CSD": "TIFCIX", "database_code_depnum_ccdc_archive": "CCDC 1540846", "chemical_formula_sum": "C62 H48 Co1 F1 N4 O4", "chemical_formula_moiety": "", "journal_volume": "9", "journal_year": "2018", "journal_page_first": "4999", "journal_name_full": "Chemical Science ", "publ_author_name": ["Zikuan Wang", "Zhengmin Yao", "Zeyu Lyu", "Qinsi Xiong", "Bing-Wu Wang", "Xuefeng Fu"]}</t>
  </si>
  <si>
    <t>10.1039/c8sc01269e</t>
  </si>
  <si>
    <t>TOBTUC</t>
  </si>
  <si>
    <t>[Mn]123([N]4=C5C(=c6ccc(=C(c7ccccc7)C7=[N]3C(=C(c3ccc(C(=C4C=C5)c4ccccc4)n13)c1ccccc1)C=C7)n26)c1ccccc1)(N1[CH]C=CC=C1)Cl</t>
  </si>
  <si>
    <t>{"audit_creation_date": "2019-02-14", "audit_creation_method": "CSD-ConQuest-V1", "database_code_CSD": "TOBTUC", "database_code_depnum_ccdc_archive": "CCDC 1860175", "chemical_formula_sum": "C59 H43 Cl1 Mn1 N7", "chemical_formula_moiety": "", "journal_volume": "75", "journal_year": "2019", "journal_page_first": "304", "journal_name_full": "Acta Crystallogr.,Sect.C:Cryst.Struct.Chem. ", "publ_author_name": ["N.Lahanas", "P.Kucheryavy", "R.A.Lalancette", "J.V.Lockard"]}</t>
  </si>
  <si>
    <t>10.1107/s2053229619001232</t>
  </si>
  <si>
    <t xml:space="preserve">Acta Crystallogr.,Sect.C:Cryst.Struct.Chem. </t>
  </si>
  <si>
    <t>TOCZAO</t>
  </si>
  <si>
    <t>[Rh]123([C]4N(C=CN4C)C)(n4c5ccc4C(=C4[N]3=C(C=C4)C(=c3n1c(=C(C1=[N]2C(=C5c2ccccc2)C=C1)c1ccccc1)cc3)c1ccccc1)c1ccccc1)Cl</t>
  </si>
  <si>
    <t>{"audit_creation_date": "2014-02-21", "audit_creation_method": "CSD-ConQuest-V1", "database_code_CSD": "TOCZAO", "database_code_depnum_ccdc_archive": "CCDC 958621", "chemical_formula_sum": "C50 H38 Cl3 N6 Rh1", "chemical_formula_moiety": "", "journal_volume": "50", "journal_year": "2014", "journal_page_first": "3488", "journal_name_full": "Chem.Commun. ", "publ_author_name": ["Juan Olguin", "H.Muller-Bunz", "M.Albrecht"]}</t>
  </si>
  <si>
    <t>10.1039/c4cc00497c</t>
  </si>
  <si>
    <t>TOCZES</t>
  </si>
  <si>
    <t>c1cccc(C2=C3C=CC4=[N]3[Rh]35([N]6=C(C=CC6=C(c6ccc2n56)c2ccccc2)C(=c2ccc(=C4c4ccccc4)n32)c2ccccc2)(N2[CH]N(C)C=C2)Cl)c1</t>
  </si>
  <si>
    <t>{"audit_creation_date": "2014-02-21", "audit_creation_method": "CSD-ConQuest-V1", "database_code_CSD": "TOCZES", "database_code_depnum_ccdc_archive": "CCDC 958622", "chemical_formula_sum": "C48.75 H35.5 Cl2.5 N6 Rh1", "chemical_formula_moiety": "", "journal_volume": "50", "journal_year": "2014", "journal_page_first": "3488", "journal_name_full": "Chem.Commun. ", "publ_author_name": ["Juan Olguin", "H.Muller-Bunz", "M.Albrecht"]}</t>
  </si>
  <si>
    <t>TODXEP</t>
  </si>
  <si>
    <t>[Ti]123([N]4=C5C(=c6ccc(=C(C7=[N]2C(=C(c2ccc(C(=C4C=C5)c4c(c(c(F)c(c4F)F)F)F)n32)c2c(c(c(c(c2F)F)F)F)F)C=C7)c2c(c(c(c(c2F)F)F)F)F)n16)c1c(c(c(c(c1F)F)F)F)F)[O]</t>
  </si>
  <si>
    <t>{"audit_creation_date": "1997-04-17", "audit_creation_method": "CSD-ConQuest-V1", "database_code_CSD": "TODXEP", "database_code_depnum_ccdc_archive": "CCDC 1273152", "chemical_formula_sum": "C47 H14 F20 N4 O2 Ti1", "chemical_formula_moiety": "", "journal_volume": "129", "journal_year": "1996", "journal_page_first": "833", "journal_name_full": "Chem.Ber. ", "publ_author_name": ["P.E.Esser", "U.Englert", "W.Keim"]}</t>
  </si>
  <si>
    <t>10.1002/cber.19961290715</t>
  </si>
  <si>
    <t xml:space="preserve">Chem.Ber. </t>
  </si>
  <si>
    <t>TOFZET</t>
  </si>
  <si>
    <t>c1(c(c2=CC3=[N]4[Ru]56(SC[C@H](NC(=O)C)C(=O)OC)([N]7=C(C(=C(C7=Cc7c(c(c(C=C4C(=C3CC)CC)n67)CC)CC)CC)CC)C=c1n25)[N][O])CC)CC</t>
  </si>
  <si>
    <t>{"audit_creation_date": "1997-04-18", "audit_creation_method": "CSD-ConQuest-V1", "database_code_CSD": "TOFZET", "database_code_depnum_ccdc_archive": null, "chemical_formula_sum": "C42 H54 N6 O4 Ru1 S1", "chemical_formula_moiety": "", "journal_volume": null, "journal_year": "1996", "journal_page_first": "2045", "journal_name_full": "Chem.Commun. ", "publ_author_name": ["Geun-Bae Yi", "M.A.Khan", "G.B.Richter-Addo"]}</t>
  </si>
  <si>
    <t>10.1039/cc9960002045</t>
  </si>
  <si>
    <t>TOJYID</t>
  </si>
  <si>
    <t>[N]12=C3C(=c4ccc5=C(C6=[N]7[Ru]1(n1c(C(=C2C=C3)c2ccccc2)ccc1C(=C7C=C6)c1ccccc1)([C][N]c1cc2-c(c1)ccccc2)([C][N]c1cc2-c(c1)ccccc2)n45)c1ccccc1)c1ccccc1</t>
  </si>
  <si>
    <t>{"audit_creation_date": "2019-06-27", "audit_creation_method": "CSD-ConQuest-V1", "database_code_CSD": "TOJYID", "database_code_depnum_ccdc_archive": "CCDC 1902219", "chemical_formula_sum": "C73 H50 N6 Ru1", "chemical_formula_moiety": "", "journal_volume": "58", "journal_year": "2019", "journal_page_first": "9316", "journal_name_full": "Inorg.Chem. ", "publ_author_name": ["M.Fathi-Rasekh", "G.T.Rohde", "M.D.Hart", "T.Nakakita", "Y.V.Zatsikha", "R.R.Valiev", "M.V.Barybin", "V.N.Nemykin"]}</t>
  </si>
  <si>
    <t>10.1021/acs.inorgchem.9b01030</t>
  </si>
  <si>
    <t>TORHEQ</t>
  </si>
  <si>
    <t>c1(cc(C2=C3[N]4=C(C=C3)C(=c3n5[Mn]64(n4c2ccc4C(=C2[N]6=C(C=C2)C(=c5cc3)c2cc(OC)cc(OC)c2)c2cc(OC)cc(OC)c2)Cl)c2cc(cc(OC)c2)OC)cc(OC)c1)OC</t>
  </si>
  <si>
    <t>{"audit_creation_date": "2019-10-24", "audit_creation_method": "CSD-ConQuest-V1", "database_code_CSD": "TORHEQ", "database_code_depnum_ccdc_archive": "CCDC 1961282", "chemical_formula_sum": "C58 H59 Cl4 Mn1 N4 O9", "chemical_formula_moiety": "", "journal_volume": null, "journal_year": "2019", "journal_page_first": null, "journal_name_full": "CSD Communication(Private Communication) ", "publ_author_name": ["A.L.Rheingold", "J.S.Miller"]}</t>
  </si>
  <si>
    <t>TPPMNA01</t>
  </si>
  <si>
    <t>[Mn]123([N]4=C5C(=c6ccc(=C(C7=[N]1C(=C(c1ccc(C(=C4C=C5)c4ccccc4)n31)c1ccccc1)C=C7)c1ccccc1)n26)c1ccccc1)Cl</t>
  </si>
  <si>
    <t>{"audit_creation_date": "1999-04-26", "audit_creation_method": "CSD-ConQuest-V1", "database_code_CSD": "TPPMNA01", "database_code_depnum_ccdc_archive": null, "chemical_formula_sum": "C47 H34 Cl1 Mn1 N4 O1", "chemical_formula_moiety": "", "journal_volume": "51", "journal_year": "1998", "journal_page_first": "835", "journal_name_full": "Aust.J.Chem. ", "publ_author_name": ["P.Turner", "M.J.Gunter", "B.W.Skelton", "A.H.White"]}</t>
  </si>
  <si>
    <t>TUBJAB</t>
  </si>
  <si>
    <t>CCC1=C(C2=C([O])c3n4[Fe]56([N]7=C(C(=c8c(c(c(=C([O])C1=[N]25)n68)CC)CC)[O])C(=C(C7=C([O])c4c(c3CC)CC)CC)CC)(N1[CH]C=CC=C1)N1[CH]C=CC=C1)CC</t>
  </si>
  <si>
    <t>{"audit_creation_date": "1997-05-29", "audit_creation_method": "CSD-ConQuest-V1", "database_code_CSD": "TUBJAB", "database_code_depnum_ccdc_archive": null, "chemical_formula_sum": "C46 H52 Fe1 N6 O2", "chemical_formula_moiety": "", "journal_volume": "35", "journal_year": "1996", "journal_page_first": "6495", "journal_name_full": "Inorg.Chem. ", "publ_author_name": ["A.L.Balch", "B.C.Noll", "M.M.Olmstead", "S.L.Phillips"]}</t>
  </si>
  <si>
    <t>10.1021/ic960423v</t>
  </si>
  <si>
    <t>UCIBUD01</t>
  </si>
  <si>
    <t>c12=CC3=[N]4C(=Cc5c(c(c6n5[Mn]54(n2c(=CC2=[N]5C(=C6)C(=C2CC)CC)c(c1CC)CC)Cl)CC)CC)C(=C3CC)CC</t>
  </si>
  <si>
    <t>{"audit_creation_date": "2019-09-22", "audit_creation_method": "CSD-ConQuest-V1", "database_code_CSD": "UCIBUD01", "database_code_depnum_ccdc_archive": "CCDC 1955073", "chemical_formula_sum": "C36 H44 Cl1 Mn1 N4", "chemical_formula_moiety": "", "journal_volume": null, "journal_year": "2019", "journal_page_first": null, "journal_name_full": "CSD Communication(Private Communication) ", "publ_author_name": ["W.Robert Scheidt", "Beisong Cheng"]}</t>
  </si>
  <si>
    <t>UFISUA</t>
  </si>
  <si>
    <t>[Zn]123(n4c5C(=C6C=CC(=[N]26)C(=c2ccc(=C(c6c(cccc6)N(Cc6ccccc6)Cc6ccccc6)C6=[N]3C(=C(c4cc5)c3ccccc3)C=C6)n12)c1ccccc1)c1ccccc1)O[C](C)C</t>
  </si>
  <si>
    <t>{"audit_creation_date": "2018-08-01", "audit_creation_method": "CSD-ConQuest-V1", "database_code_CSD": "UFISUA", "database_code_depnum_ccdc_archive": "CCDC 1859697", "chemical_formula_sum": "C64 H53 N5 O2 Zn1", "chemical_formula_moiety": "", "journal_volume": "140", "journal_year": "2018", "journal_page_first": "9444", "journal_name_full": "J.Am.Chem.Soc. ", "publ_author_name": ["S.Bhunia", "Atanu Rana", "P.Roy", "D.J.Martin", "M.L.Pegis", "Bijan Roy", "Abhishek Dey"]}</t>
  </si>
  <si>
    <t>10.1021/jacs.8b10651</t>
  </si>
  <si>
    <t>UGUHOV</t>
  </si>
  <si>
    <t>[Ni@]123n4c5=C(C6=[N]2C(=C(c2ccccc2)c2c(c(c(C(=C7C(=C(N(=O)=O)C(=[N]17)C(=c4c(Cl)c5Cl)c1ccccc1)Cl)c1ccccc1)n32)Cl)Cl)C(=C6Cl)Cl)c1ccccc1</t>
  </si>
  <si>
    <t>{"audit_creation_date": "2015-04-22", "audit_creation_method": "CSD-ConQuest-V1", "database_code_CSD": "UGUHOV", "database_code_depnum_ccdc_archive": "CCDC 1043615", "chemical_formula_sum": "C44 H20 Cl7 N5 Ni1 O2", "chemical_formula_moiety": "", "journal_volume": "44", "journal_year": "2015", "journal_page_first": "9149", "journal_name_full": "Dalton Trans. ", "publ_author_name": ["R.Kumar", "N.Chaudhri", "M.Sankar"]}</t>
  </si>
  <si>
    <t>10.1039/c5dt00937e</t>
  </si>
  <si>
    <t>UMOQAP</t>
  </si>
  <si>
    <t>c1ccccc1C1=C2[N]3=C(C(=c4ccc5=C(C6=[N]7C(=C(c8cc(cc(c8)C(C)(C)C)C(C)(C)C)c8n(c1cc8)[Ni@@]37n45)C=C6)c1c3ccccc3cc3c1cccc3)c1cc(cc(c1)C(C)(C)C)C(C)(C)C)C=C2</t>
  </si>
  <si>
    <t>{"audit_creation_date": "2011-06-16", "audit_creation_method": "CSD-ConQuest-V1", "database_code_CSD": "UMOQAP", "database_code_depnum_ccdc_archive": "CCDC 789257", "chemical_formula_sum": "C69 H66 Cl2 N4 Ni1", "chemical_formula_moiety": "", "journal_volume": "65", "journal_year": "2010", "journal_page_first": "1472", "journal_name_full": "Z.Naturforsch.,B:Chem.Sci. ", "publ_author_name": ["M.Davis", "M.O.Senge", "O.B.Locos"]}</t>
  </si>
  <si>
    <t>10.1515/znb-2010-1211</t>
  </si>
  <si>
    <t xml:space="preserve">Z.Naturforsch.,B:Chem.Sci. </t>
  </si>
  <si>
    <t>UQIDAC</t>
  </si>
  <si>
    <t>[Ni@]123n4c5=C([CH][N][N][CH]c6ccc(cc6)OC)C6=[N]1C(=Cc1c(c(c(C=C7C(=C(C(=[N]37)C=c4c(CC)c5CC)CC)CC)n21)CC)CC)C(=C6CC)CC</t>
  </si>
  <si>
    <t>{"audit_creation_date": "2021-04-05", "audit_creation_method": "CSD-ConQuest-V1", "database_code_CSD": "UQIDAC", "database_code_depnum_ccdc_archive": "CCDC 1895153", "chemical_formula_sum": "C45 H52 N6 Ni1 O1", "chemical_formula_moiety": "", "journal_volume": "191", "journal_year": "2021", "journal_page_first": "109354", "journal_name_full": "Dyes Pigm. ", "publ_author_name": ["E.S.Belyaev", "A.O.Shkirdova", "G.L.Kozhemyakin", "V.S.Tyurin", "V.V.Emets", "V.A.Grinberg", "D.A.Cheshkov", "G.V.Ponomarev", "V.A.Tafeenko", "A.S.Radchenko", "A.A.Kostyukov", "A.E.Egorov", "V.A.Kuzmin", "I.A.Zamilatskov"]}</t>
  </si>
  <si>
    <t>10.1016/j.dyepig.2021.109354</t>
  </si>
  <si>
    <t>UQIFEI</t>
  </si>
  <si>
    <t>c12=C([CH][N][N][CH]c3ccc(cc3)O)C3=[N]4[Ni@]56n2c(=CC2=[N]5C(=Cc5n6c(C=C4C(=C3CC)CC)c(CC)c5CC)C(=C2CC)CC)c(CC)c1CC</t>
  </si>
  <si>
    <t>{"audit_creation_date": "2021-04-05", "audit_creation_method": "CSD-ConQuest-V1", "database_code_CSD": "UQIFEI", "database_code_depnum_ccdc_archive": "CCDC 1895143", "chemical_formula_sum": "C44 H50 N6 Ni1 O1", "chemical_formula_moiety": "", "journal_volume": "191", "journal_year": "2021", "journal_page_first": "109354", "journal_name_full": "Dyes Pigm. ", "publ_author_name": ["E.S.Belyaev", "A.O.Shkirdova", "G.L.Kozhemyakin", "V.S.Tyurin", "V.V.Emets", "V.A.Grinberg", "D.A.Cheshkov", "G.V.Ponomarev", "V.A.Tafeenko", "A.S.Radchenko", "A.A.Kostyukov", "A.E.Egorov", "V.A.Kuzmin", "I.A.Zamilatskov"]}</t>
  </si>
  <si>
    <t>UQUQAA</t>
  </si>
  <si>
    <t>CC(c1cc(cc(C2=c3n4[Ni@@]56n7c(ccc7C(=C7[N]6=C2C=C7)c2cc(cc(C(C)(C)C)c2)C(C)(C)C)C(=C2C=CC(=[N]52)C=c4cc3)c2cc(C(C)(C)C)cc(C(C)(C)C)c2)c1)C(C)(C)C)(C)C</t>
  </si>
  <si>
    <t>{"audit_creation_date": "2016-06-30", "audit_creation_method": "CSD-ConQuest-V1", "database_code_CSD": "UQUQAA", "database_code_depnum_ccdc_archive": "CCDC 1462863", "chemical_formula_sum": "C63 H74 Cl2 N4 Ni1", "chemical_formula_moiety": "", "journal_volume": "55", "journal_year": "2016", "journal_page_first": "8711", "journal_name_full": "Angew.Chem.,Int.Ed. ", "publ_author_name": ["K.Kato", "Wonhee Cha", "Juwon Oh", "Ko Furukawa", "H.Yorimitsu", "Dongho Kim", "A.Osuka"]}</t>
  </si>
  <si>
    <t>10.1002/anie.201681211</t>
  </si>
  <si>
    <t>USIVAV</t>
  </si>
  <si>
    <t>C1=c2n3[Pt@@]45[N]6=C(C=CC6=Cc6ccc(C=C7C=CC1=[N]57)n46)C=c3cc2</t>
  </si>
  <si>
    <t>{"audit_creation_date": "2016-08-09", "audit_creation_method": "CSD-ConQuest-V1", "database_code_CSD": "USIVAV", "database_code_depnum_ccdc_archive": "CCDC 1498448", "chemical_formula_sum": "C20 H12 N4 Pt1", "chemical_formula_moiety": "", "journal_volume": "55", "journal_year": "2016", "journal_page_first": "6294", "journal_name_full": "Inorg.Chem. ", "publ_author_name": ["W.Jentzen", "J.A.Shelnutt", "W.Robert Scheidt"]}</t>
  </si>
  <si>
    <t>10.1021/acs.inorgchem.6b00956</t>
  </si>
  <si>
    <t>USULUR</t>
  </si>
  <si>
    <t>[Zn]123(n4c5=C(C6=[N]2C(=C(c2ccc(C(=C7C=CC(=[N]17)C(=c4cc5)c1ccccc1)c1ccccc1)n32)c1ccccc1)C=C6)c1ccccc1)N1[CH]C=C(C(=O)OCc2ccc3cccc4c3c2[S@]2[Fe]3([Fe]2([C][O])([C][O])([C][O])[S@]43)([C][O])([C][O])[C][O])C=C1</t>
  </si>
  <si>
    <t>{"audit_creation_date": "2016-08-10", "audit_creation_method": "CSD-ConQuest-V1", "database_code_CSD": "USULUR", "database_code_depnum_ccdc_archive": "CCDC 1446294", "chemical_formula_sum": "C67 H39 Fe2 N5 O8 S2 Zn1", "chemical_formula_moiety": "", "journal_volume": "70", "journal_year": "2016", "journal_page_first": "1", "journal_name_full": "Inorg.Chem.Commun. ", "publ_author_name": ["Xiao-Wei Song", "Xian-Jing Gao", "Hai-Xiong Liu", "Hui Chen", "Chang-Neng Chen"]}</t>
  </si>
  <si>
    <t>10.1039/c6cc03587f</t>
  </si>
  <si>
    <t>UTEXID</t>
  </si>
  <si>
    <t>c12=CC3=[N]4C(=C(C(F)(F)F)c5n6[Zn]74([N]4=C(C=CC4=Cc6cc5)C(=c(n17)cc2)C(F)(F)F)N1[CH]C=CC=C1)C=C3</t>
  </si>
  <si>
    <t>{"audit_creation_date": "2021-05-03", "audit_creation_method": "CSD-ConQuest-V1", "database_code_CSD": "UTEXID", "database_code_depnum_ccdc_archive": "CCDC 2035494", "chemical_formula_sum": "C27 H15 F6 N5 Zn1", "chemical_formula_moiety": "", "journal_volume": "60", "journal_year": "2021", "journal_page_first": "12829", "journal_name_full": "Angew.Chem.,Int.Ed. ", "publ_author_name": ["P.Yadav", "S.Khoury", "N.Fridman", "V.K.Sharma", "A.Kumar", "M.Majdoub", "A.Kumar", "Y.Diskin-Posner", "A.Mahammed", "Z.Gross"]}</t>
  </si>
  <si>
    <t>10.1002/anie.202103477</t>
  </si>
  <si>
    <t>UTEYIE</t>
  </si>
  <si>
    <t>c1ccc(C2=c3ccc4=C(C5=[N]6[Zn]7([N]8=C2C=CC8=C(c2ccc(C(=C6C=C5)c5ccccc5)n72)c2ccccc2c2cn(C5=C[CH][CH][CH][N]5)nn2)(n34)N2[CH]C=CC=C2)c2ccccc2)cc1</t>
  </si>
  <si>
    <t>{"audit_creation_date": "2021-05-03", "audit_creation_method": "CSD-ConQuest-V1", "database_code_CSD": "UTEYIE", "database_code_depnum_ccdc_archive": "CCDC 2061921", "chemical_formula_sum": "C56 H37 N9 Zn1", "chemical_formula_moiety": "", "journal_volume": "60", "journal_year": "2021", "journal_page_first": "18006", "journal_name_full": "Angew.Chem.,Int.Ed. ", "publ_author_name": ["J.Trouve", "P.Zardi", "S.Al-Shehimy", "T.Roisnel", "R.Gramage-Doria"]}</t>
  </si>
  <si>
    <t>10.1002/anie.202184011</t>
  </si>
  <si>
    <t>UVUCIY</t>
  </si>
  <si>
    <t>[N]12=C3C=CC2=C(c2n4[Rh]51(n1c(=C3c3ccccc3)ccc1=C(C1=[N]5C(=C(c4cc2)c2ccccc2)C=C1)c1ccccc1)(Cl)N1[CH]C=C(C=C1)c1ccccc1)c1ccccc1</t>
  </si>
  <si>
    <t>{"audit_creation_date": "2011-09-14", "audit_creation_method": "CSD-ConQuest-V1", "database_code_CSD": "UVUCIY", "database_code_depnum_ccdc_archive": "CCDC 814313", "chemical_formula_sum": "C61 H49 Cl1 N5 O2 Rh1", "chemical_formula_moiety": "", "journal_volume": "47", "journal_year": "2011", "journal_page_first": "8427", "journal_name_full": "Chem.Commun. ", "publ_author_name": ["T.Sakano", "K.Higashiguchi", "K.Matsuda"]}</t>
  </si>
  <si>
    <t>10.1039/c1cc12041g</t>
  </si>
  <si>
    <t>UVUCOE</t>
  </si>
  <si>
    <t>c1ccccc1C1=C2C=CC3=[N]2[Rh]24(n5c(=C3c3ccccc3)ccc5=C(C3=[N]2C(=C(c2ccc1n42)c1ccccc1)C=C3)c1ccccc1)(N1[CH]C=C(C(=C1)C)c1c(cccc1C)C)Cl</t>
  </si>
  <si>
    <t>{"audit_creation_date": "2011-09-14", "audit_creation_method": "CSD-ConQuest-V1", "database_code_CSD": "UVUCOE", "database_code_depnum_ccdc_archive": "CCDC 814314", "chemical_formula_sum": "C59 H47 Cl1 N5 O1 Rh1", "chemical_formula_moiety": "", "journal_volume": "47", "journal_year": "2011", "journal_page_first": "8427", "journal_name_full": "Chem.Commun. ", "publ_author_name": ["T.Sakano", "K.Higashiguchi", "K.Matsuda"]}</t>
  </si>
  <si>
    <t>VACQUL</t>
  </si>
  <si>
    <t>[Ni@]123[N]4=C5C=c6ccc(=CC7=[N]2C(=C(C(C)(C)C)c2ccc(C=C4C=C5)n12)C=C7)n36</t>
  </si>
  <si>
    <t>{"audit_creation_date": "1999-03-24", "audit_creation_method": "CSD-ConQuest-V1", "database_code_CSD": "VACQUL", "database_code_depnum_ccdc_archive": null, "chemical_formula_sum": "C24 H20 N4 Ni1", "chemical_formula_moiety": "", "journal_volume": "37", "journal_year": "1998", "journal_page_first": "2117", "journal_name_full": "Inorg.Chem. ", "publ_author_name": ["Xing-Zhi Song", "W.Jentzen", "L.Jaquinod", "R.G.Khoury", "C.J.Medforth", "Song-Ling Jia", "Jian-Guo Ma", "K.M.Smith", "J.A.Shelnutt"]}</t>
  </si>
  <si>
    <t>10.1021/ic9711978</t>
  </si>
  <si>
    <t>VAFQEY</t>
  </si>
  <si>
    <t>[Ni@]123[N]4=C5C=CC4=Cc4ccc(C(=C6[N]3=C(C=c3n1c(=C5C(C)C)cc3)C=C6)C(C)C)n24</t>
  </si>
  <si>
    <t>VAFQIC</t>
  </si>
  <si>
    <t>[Zn]123([N]4=C5C=CC4=C(C(C)C)c4n1c(C=C1[N]2=C(C(=c2ccc(=C5)n32)C(C)C)C=C1)cc4)N1[CH]C=CC=C1</t>
  </si>
  <si>
    <t>{"audit_creation_date": "1999-03-24", "audit_creation_method": "CSD-ConQuest-V1", "database_code_CSD": "VAFQIC", "database_code_depnum_ccdc_archive": null, "chemical_formula_sum": "C31 H29 N5 Zn1", "chemical_formula_moiety": "", "journal_volume": "37", "journal_year": "1998", "journal_page_first": "2009", "journal_name_full": "Inorg.Chem. ", "publ_author_name": ["Xing-Zhi Song", "L.Jaquinod", "W.Jentzen", "D.J.Nurco", "Song-Ling Jia", "R.G.Khoury", "Jian-Guo Ma", "C.J.Medforth", "K.M.Smith", "J.A.Shelnutt"]}</t>
  </si>
  <si>
    <t>10.1021/ic980289+</t>
  </si>
  <si>
    <t>VAFTUR</t>
  </si>
  <si>
    <t>C(#Cc1ccc(cc1)CCCC)C1=C2[N]3=C(C(=c4n5c(=C(C6=[N]7C(=C(c8n(c1cc8)[Zn]357N1[CH]C=CC=C1)C#Cc1ccc(cc1)CCCC)C=C6)C#Cc1ccc(cc1)CCCC)cc4)C#Cc1ccc(cc1)/C=C/CC)C=C2</t>
  </si>
  <si>
    <t>{"audit_creation_date": "1999-03-24", "audit_creation_method": "CSD-ConQuest-V1", "database_code_CSD": "VAFTUR", "database_code_depnum_ccdc_archive": null, "chemical_formula_sum": "C73 H65 N5 Zn1", "chemical_formula_moiety": "", "journal_volume": null, "journal_year": "1998", "journal_page_first": "1607", "journal_name_full": "J.Chem.Soc.,Perkin Trans.1 ", "publ_author_name": ["H.L.Anderson", "A.P.Wylie", "K.Prout"]}</t>
  </si>
  <si>
    <t>10.1039/a800992i</t>
  </si>
  <si>
    <t>VATXIX</t>
  </si>
  <si>
    <t>[Zn]123([N]4=C5C=CC4=C(c4ccc(C(=C6C=CC(=[N]26)C(=c2ccc(=C5c5ccccc5NC(=O)Nc5ccc(cc5)Cl)n12)c1ccccc1NC(=O)Nc1ccc(cc1)Cl)c1c(cccc1)NC(=O)Nc1ccc(cc1)Cl)n34)c1ccccc1NC(=O)Nc1ccc(cc1)Cl)O[S](C)C</t>
  </si>
  <si>
    <t>{"audit_creation_date": "1999-03-24", "audit_creation_method": "CSD-ConQuest-V1", "database_code_CSD": "VATXIX", "database_code_depnum_ccdc_archive": "CCDC 111801", "chemical_formula_sum": "C82 H78 Cl4 N12 O9 S5 Zn1", "chemical_formula_moiety": "", "journal_volume": "120", "journal_year": "1998", "journal_page_first": "11684", "journal_name_full": "J.Am.Chem.Soc. ", "publ_author_name": ["R.C.Jagessar", "M.Shang", "W.R.Scheidt", "D.H.Burns"]}</t>
  </si>
  <si>
    <t>10.1021/ja982052i</t>
  </si>
  <si>
    <t>VAVRAN</t>
  </si>
  <si>
    <t>c1cc2=C(C3=[N]4[Ni@@]56n7c(ccc7C(=C7[N]5=C(C=C7)C=c1n26)c1ccccc1)C(=C4C=C3)N=[N]=[N])c1ccccc1</t>
  </si>
  <si>
    <t>{"audit_creation_date": "2012-04-25", "audit_creation_method": "CSD-ConQuest-V1", "database_code_CSD": "VAVRAN", "database_code_depnum_ccdc_archive": "CCDC 870163", "chemical_formula_sum": "C32 H19 N7 Ni1", "chemical_formula_moiety": "", "journal_volume": "14", "journal_year": "2012", "journal_page_first": "190", "journal_name_full": "Org.Lett. ", "publ_author_name": ["K.Yamashita", "K.Kataoka", "M.S.Asano", "K.Sugiura"]}</t>
  </si>
  <si>
    <t>10.1021/ol3013364</t>
  </si>
  <si>
    <t xml:space="preserve">Org.Lett. </t>
  </si>
  <si>
    <t>VAVRER</t>
  </si>
  <si>
    <t>C12=[N]3[Ni@]45n6c(C(=C7C=CC(=[N]57)C(=c5n4c(=C1c1ccccc1)cc5)N=[N]=[N])c1ccccc1)ccc6C(=C3C=C2)N=[N]=[N]</t>
  </si>
  <si>
    <t>{"audit_creation_date": "2012-04-25", "audit_creation_method": "CSD-ConQuest-V1", "database_code_CSD": "VAVRER", "database_code_depnum_ccdc_archive": "CCDC 870164", "chemical_formula_sum": "C32 H18 N10 Ni1", "chemical_formula_moiety": "", "journal_volume": "14", "journal_year": "2012", "journal_page_first": "190", "journal_name_full": "Org.Lett. ", "publ_author_name": ["K.Yamashita", "K.Kataoka", "M.S.Asano", "K.Sugiura"]}</t>
  </si>
  <si>
    <t>VEFZOY</t>
  </si>
  <si>
    <t>[N]12=C3C(=c4ccc5=C(C6=[N]7[Rh]1(n1c(ccc1C(=C2C=C3)c1ccc(cc1)C)C(=C7C=C6)c1ccc(cc1)C)([C@@H](c1ccccc1)Oc1ccccc1)n45)c1ccc(cc1)C)c1ccc(cc1)C</t>
  </si>
  <si>
    <t>{"audit_creation_date": "2017-09-11", "audit_creation_method": "CSD-ConQuest-V1", "database_code_CSD": "VEFZOY", "database_code_depnum_ccdc_archive": "CCDC 1552671", "chemical_formula_sum": "C62 H48 Cl3 N4 O1 Rh1", "chemical_formula_moiety": "", "journal_volume": "36", "journal_year": "2017", "journal_page_first": "3456", "journal_name_full": "Organometallics ", "publ_author_name": ["Chen Chen", "Kin Shing Chan"]}</t>
  </si>
  <si>
    <t>10.1021/acs.organomet.7b00386</t>
  </si>
  <si>
    <t>VEXSIC</t>
  </si>
  <si>
    <t>Cc1ccc(C2=c3ccc4=C(c5ccc(C)cc5)C5=[N]6[Ir]7([N]8=C2C=CC8=C(c2ccc(C(=C6C=C5)c5ccc(C)cc5)n72)c2ccc(C)cc2)(n34)([N](C)(C)C)Cl)cc1</t>
  </si>
  <si>
    <t>{"audit_creation_date": "2013-05-24", "audit_creation_method": "CSD-ConQuest-V1", "database_code_CSD": "VEXSIC", "database_code_depnum_ccdc_archive": "CCDC 864504", "chemical_formula_sum": "C53 H49 Cl5 Ir1 N5", "chemical_formula_moiety": "", "journal_volume": "31", "journal_year": "2012", "journal_page_first": "3628", "journal_name_full": "Organometallics ", "publ_author_name": ["B.J.Anding", "A.Ellern", "L.K.Woo"]}</t>
  </si>
  <si>
    <t>10.1021/om300135f</t>
  </si>
  <si>
    <t>VEXTAV</t>
  </si>
  <si>
    <t>c1c(C)ccc(C2=c3ccc4=C(c5ccc(cc5)C)C5=[N]6[Ir]7([C][O])(n8c(ccc8C(=C8C=CC2=[N]78)c2ccc(cc2)C)C(=C6C=C5)c2ccc(C)cc2)(n34)N=C=S)c1</t>
  </si>
  <si>
    <t>{"audit_creation_date": "2013-05-24", "audit_creation_method": "CSD-ConQuest-V1", "database_code_CSD": "VEXTAV", "database_code_depnum_ccdc_archive": "CCDC 864501", "chemical_formula_sum": "C50 H36 Ir1 N5 O1 S1", "chemical_formula_moiety": "", "journal_volume": "31", "journal_year": "2012", "journal_page_first": "3628", "journal_name_full": "Organometallics ", "publ_author_name": ["B.J.Anding", "A.Ellern", "L.K.Woo"]}</t>
  </si>
  <si>
    <t>VICCUG</t>
  </si>
  <si>
    <t>c1(ccccc1)C(=O)[Ir]123n4c5=C(C6=[N]2C(=C(c2ccc(C(=C7[N]1=C(C=C7)C(=c4cc5)c1ccc(cc1)C)c1ccc(cc1)C)n32)c1ccc(cc1)C)C=C6)c1ccc(cc1)C</t>
  </si>
  <si>
    <t>{"audit_creation_date": "2007-06-01", "audit_creation_method": "CSD-ConQuest-V1", "database_code_CSD": "VICCUG", "database_code_depnum_ccdc_archive": "CCDC 628255", "chemical_formula_sum": "C62 H49 Ir1 N4 O1", "chemical_formula_moiety": "", "journal_volume": "26", "journal_year": "2007", "journal_page_first": "965", "journal_name_full": "Organometallics ", "publ_author_name": ["Xu Song", "Kin Shing Chan"]}</t>
  </si>
  <si>
    <t>10.1021/om060849+</t>
  </si>
  <si>
    <t>VICDOB</t>
  </si>
  <si>
    <t>c1cc(ccc1C(=O)[Ir]123n4c5=C(C6=[N]3C(=C(c3n2c(C(=C2[N]1=C(C(=c4cc5)c1ccc(cc1)C)C=C2)c1ccc(C)cc1)cc3)c1ccc(cc1)C)C=C6)c1ccc(cc1)C)F</t>
  </si>
  <si>
    <t>{"audit_creation_date": "2007-06-01", "audit_creation_method": "CSD-ConQuest-V1", "database_code_CSD": "VICDOB", "database_code_depnum_ccdc_archive": "CCDC 628259", "chemical_formula_sum": "C62 H48 F1 Ir1 N4 O1", "chemical_formula_moiety": "", "journal_volume": "26", "journal_year": "2007", "journal_page_first": "965", "journal_name_full": "Organometallics ", "publ_author_name": ["Xu Song", "Kin Shing Chan"]}</t>
  </si>
  <si>
    <t>VICDUH</t>
  </si>
  <si>
    <t>c1cc(ccc1C(=O)[Ir]123[N]4=C5C=CC4=C(c4n3c(C(=C3[N]2=C(C(=c2n1c(=C5c1ccc(cc1)C)cc2)c1ccc(cc1)C)C=C3)c1ccc(cc1)C)cc4)c1ccc(cc1)C)Cl</t>
  </si>
  <si>
    <t>{"audit_creation_date": "2007-06-01", "audit_creation_method": "CSD-ConQuest-V1", "database_code_CSD": "VICDUH", "database_code_depnum_ccdc_archive": "CCDC 628260", "chemical_formula_sum": "C62 H48 Cl1 Ir1 N4 O1", "chemical_formula_moiety": "", "journal_volume": "26", "journal_year": "2007", "journal_page_first": "965", "journal_name_full": "Organometallics ", "publ_author_name": ["Xu Song", "Kin Shing Chan"]}</t>
  </si>
  <si>
    <t>VIMZUN</t>
  </si>
  <si>
    <t>[Zn]123([N]4=C5C=CC4=C(c4n3c(C(=C3[N]2=C(C(=c2n1c(=C5c1ccccc1)cc2)c1ccccc1)C=C3)c1ccccc1)cc4)c1ccccc1)N1[CH]C=C(NC(=O)c2ccncc2)C=C1</t>
  </si>
  <si>
    <t>{"audit_creation_date": "2008-01-22", "audit_creation_method": "CSD-ConQuest-V1", "database_code_CSD": "VIMZUN", "database_code_depnum_ccdc_archive": "CCDC 664888", "chemical_formula_sum": "C72 H57 N7 O2 Zn1", "chemical_formula_moiety": "", "journal_volume": "46", "journal_year": "2007", "journal_page_first": "7351", "journal_name_full": "Inorg.Chem. ", "publ_author_name": ["D.K.Kumar", "A.Das", "P.Dastidar"]}</t>
  </si>
  <si>
    <t>10.1021/ic0702163</t>
  </si>
  <si>
    <t>VOFDIE</t>
  </si>
  <si>
    <t>C12=C(c3ccc4C(=C5C=CC6=[N]5[Ir]5([N]2=C(C=C1)C(=c1ccc(=C6c2ccc(cc2)C)n51)c1ccc(cc1)C)(Cc1ccc(cc1)C(C)(C)C)n34)c1ccc(cc1)C)c1ccc(cc1)C</t>
  </si>
  <si>
    <t>{"audit_creation_date": "2009-01-06", "audit_creation_method": "CSD-ConQuest-V1", "database_code_CSD": "VOFDIE", "database_code_depnum_ccdc_archive": "CCDC 700158", "chemical_formula_sum": "C59 H51 Ir1 N4", "chemical_formula_moiety": "", "journal_volume": "27", "journal_year": "2008", "journal_page_first": "3043", "journal_name_full": "Organometallics ", "publ_author_name": ["Chi Wai Cheung", "Kin Shing Chan"]}</t>
  </si>
  <si>
    <t>10.1021/om700751h</t>
  </si>
  <si>
    <t>VOQPOG</t>
  </si>
  <si>
    <t>CN1[CH]N([Ru]234([C][O])n5c6=C(C7=[N]4C(=C(c4ccc(C(=C8C=CC(=[N]28)C(=c5cc6)c2ccccc2)c2ccccc2)n34)c2ccccc2)C=C7)c2ccccc2)C=C1</t>
  </si>
  <si>
    <t>{"audit_creation_date": "2001-12-11", "audit_creation_method": "CSD-ConQuest-V1", "database_code_CSD": "VOQPOG", "database_code_depnum_ccdc_archive": "CCDC 143799", "chemical_formula_sum": "C51 H36 Cl6 N6 O1 Ru1", "chemical_formula_moiety": "", "journal_volume": "5", "journal_year": "2001", "journal_page_first": "419", "journal_name_full": "J.Porphyrins Phthalocyanines ", "publ_author_name": ["P.G.Jene", "J.A.Ibers"]}</t>
  </si>
  <si>
    <t>10.1002/jpp.344</t>
  </si>
  <si>
    <t>VOZDIZ</t>
  </si>
  <si>
    <t>c1cc2=C(c3ccccc3)C3=[N]4[Zn]56(n7c(C(=C4C=C3)c3ccccc3)ccc7C(=C3[N]6=C(C=C3)C(=c1n25)c1ccccc1)c1ccccc1)ON1C(=CC=C2C=CC=C[C]12)/C=C/c1ccc(cc1)OC</t>
  </si>
  <si>
    <t>{"audit_creation_date": "2015-02-11", "audit_creation_method": "CSD-ConQuest-V1", "database_code_CSD": "VOZDIZ", "database_code_depnum_ccdc_archive": "CCDC 983906", "chemical_formula_sum": "C62 H43 N5 O2 Zn1", "chemical_formula_moiety": "", "journal_volume": "88", "journal_year": "2015", "journal_page_first": "190", "journal_name_full": "Polyhedron ", "publ_author_name": ["A.Szemik-Hojniak", "K.Oberda", "I.Deperasinska", "Y.P.Nizhnik", "L.Jerzykiewicz"]}</t>
  </si>
  <si>
    <t>10.1016/j.poly.2014.12.025</t>
  </si>
  <si>
    <t>VUMYEK01</t>
  </si>
  <si>
    <t>c1(ccccc1)C1=C2[N]3=C(C(=c4ccc5=C(c6ccccc6)C6=[N]7[Mn]3(n3c1ccc3C(=C7C=C6)c1ccccc1)(I)n45)c1ccccc1)C=C2</t>
  </si>
  <si>
    <t>{"audit_creation_date": "2020-04-29", "audit_creation_method": "CSD-ConQuest-V1", "database_code_CSD": "VUMYEK01", "database_code_depnum_ccdc_archive": "CCDC 1977355", "chemical_formula_sum": "C45 H29 Cl3 I1 Mn1 N4", "chemical_formula_moiety": "", "journal_volume": "184", "journal_year": "2020", "journal_page_first": "114488", "journal_name_full": "Polyhedron ", "publ_author_name": ["A.N.Bone", "S.E.Stavretis", "J.Krzystek", "Zhiming Liu", "Qiang Chen", "Zheng Gai", "Xiaoping Wang", "C.A.Steren", "X.B.Powers", "A.A.Podlesnyak", "Xue-Tai Chen", "J.Telser", "Haidong Zhou", "Zi-Ling Xue"]}</t>
  </si>
  <si>
    <t>10.1016/j.poly.2020.114488</t>
  </si>
  <si>
    <t>VUMYUA</t>
  </si>
  <si>
    <t>[Mn]123(Br)[N]4=C5C(=c6ccc(=C(C7=[N]1C(=C(c1ccc(C(=C4C=C5)c4ccccc4)n31)c1ccccc1)C=C7)c1ccccc1)n26)c1ccccc1</t>
  </si>
  <si>
    <t>{"audit_creation_date": "2020-04-29", "audit_creation_method": "CSD-ConQuest-V1", "database_code_CSD": "VUMYUA", "database_code_depnum_ccdc_archive": "CCDC 1977356", "chemical_formula_sum": "C45 H29 Br1 Cl3 Mn1 N4", "chemical_formula_moiety": "", "journal_volume": "184", "journal_year": "2020", "journal_page_first": "114488", "journal_name_full": "Polyhedron ", "publ_author_name": ["A.N.Bone", "S.E.Stavretis", "J.Krzystek", "Zhiming Liu", "Qiang Chen", "Zheng Gai", "Xiaoping Wang", "C.A.Steren", "X.B.Powers", "A.A.Podlesnyak", "Xue-Tai Chen", "J.Telser", "Haidong Zhou", "Zi-Ling Xue"]}</t>
  </si>
  <si>
    <t>VUMZAH</t>
  </si>
  <si>
    <t>c1(ccccc1)C1=c2n3[Mn]45(Br)[N]6=C1C=CC6=C(c1ccccc1)c1n5c(C(=C5[N]4=C(C(=c3cc2)c2ccccc2)C=C5)c2ccccc2)cc1</t>
  </si>
  <si>
    <t>{"audit_creation_date": "2020-04-29", "audit_creation_method": "CSD-ConQuest-V1", "database_code_CSD": "VUMZAH", "database_code_depnum_ccdc_archive": "CCDC 1977357", "chemical_formula_sum": "C45 H30 Br1 Cl2 Mn1 N4", "chemical_formula_moiety": "", "journal_volume": "184", "journal_year": "2020", "journal_page_first": "114488", "journal_name_full": "Polyhedron ", "publ_author_name": ["A.N.Bone", "S.E.Stavretis", "J.Krzystek", "Zhiming Liu", "Qiang Chen", "Zheng Gai", "Xiaoping Wang", "C.A.Steren", "X.B.Powers", "A.A.Podlesnyak", "Xue-Tai Chen", "J.Telser", "Haidong Zhou", "Zi-Ling Xue"]}</t>
  </si>
  <si>
    <t>VURJOK</t>
  </si>
  <si>
    <t>[Si]123([N]4=C5C=CC4=C(c4ccc(C(=C6C=CC(=[N]26)C(=c2ccc(=C5c5ccccc5)n12)c1ccccc1)c1ccccc1)n34)c1ccccc1)(O[Si](C)(C)c1ccccc1)O[Si](C)(C)c1ccccc1</t>
  </si>
  <si>
    <t>{"audit_creation_date": "2020-09-07", "audit_creation_method": "CSD-ConQuest-V1", "database_code_CSD": "VURJOK", "database_code_depnum_ccdc_archive": "CCDC 1977452", "chemical_formula_sum": "C60 H50 N4 O2 Si3", "chemical_formula_moiety": "", "journal_volume": "59", "journal_year": "2020", "journal_page_first": "13533", "journal_name_full": "Inorg.Chem. ", "publ_author_name": ["B.A.Hussein", "Z.Shakeel", "A.T.Turley", "A.N.Bismillah", "K.M.Wolfstadt", "J.E.Pia", "Melanie Pilkington?", "P.R.McGonigal", "M.J.Adler"]}</t>
  </si>
  <si>
    <t>10.1021/acs.inorgchem.0c01891</t>
  </si>
  <si>
    <t>WACREY</t>
  </si>
  <si>
    <t>c12=C(c3ccccc3)C3=[N]4[Co]56(n2c(=C(C2=[N]5C(=C(c5ccc(C(=C4C=C3)c3ccccc3)n65)c3ccccc3)C=C2)c2ccccc2)cc1)CC(=O)OCC</t>
  </si>
  <si>
    <t>{"audit_creation_date": "2003-07-25", "audit_creation_method": "CSD-ConQuest-V1", "database_code_CSD": "WACREY", "database_code_depnum_ccdc_archive": "CCDC 190083", "chemical_formula_sum": "C48 H35 Co1 N4 O2", "chemical_formula_moiety": "", "journal_volume": null, "journal_year": "2003", "journal_page_first": "1452", "journal_name_full": "Eur.J.Inorg.Chem. ", "publ_author_name": ["A.Penoni", "R.Wanke", "S.Tollari", "E.Gallo", "D.Musella", "F.Ragaini", "F.Demartin", "S.Cenini"]}</t>
  </si>
  <si>
    <t>10.1002/ejic.200390189</t>
  </si>
  <si>
    <t>WAFTED</t>
  </si>
  <si>
    <t>[Zn]123([N]4=C5C=CC4=C(c4ccc(C(=C6C=CC(=[N]26)C(=c2n1c(=C5c1ccncc1)cc2)c1ccncc1)c1ccncc1)n34)c1ccncc1)[N@@]12C[N@]3C[N@](C[N@@](C2)C3)C1</t>
  </si>
  <si>
    <t>{"audit_creation_date": "2005-02-22", "audit_creation_method": "CSD-ConQuest-V1", "database_code_CSD": "WAFTED", "database_code_depnum_ccdc_archive": "CCDC 237489", "chemical_formula_sum": "C49 H40.5 N12.5 O2 Zn1", "chemical_formula_moiety": "", "journal_volume": "28", "journal_year": "2004", "journal_page_first": "1250", "journal_name_full": "New J.Chem. ", "publ_author_name": ["M.Vinodu", "I.Goldberg"]}</t>
  </si>
  <si>
    <t>10.1039/b405945j</t>
  </si>
  <si>
    <t xml:space="preserve">New J.Chem. </t>
  </si>
  <si>
    <t>WAXNOY</t>
  </si>
  <si>
    <t>[Zn]123(N4[CH]C=CC=C4)[N]4=C5C(=c6c(c(c(=C(C7=[N]3C(=C(c3n1c(C(=C4C(=C5CC)CC)[O])c(CC)c3CC)[O])C(=C7CC)CC)[O])n26)CC)CC)[O]</t>
  </si>
  <si>
    <t>{"audit_creation_date": "1994-04-27", "audit_creation_method": "CSD-ConQuest-V1", "database_code_CSD": "WAXNOY", "database_code_depnum_ccdc_archive": null, "chemical_formula_sum": "C41 H47 N5 O2 Zn1", "chemical_formula_moiety": "", "journal_volume": "48", "journal_year": "1993", "journal_page_first": "991", "journal_name_full": "Z.Naturforsch.,B:Chem.Sci. ", "publ_author_name": ["M.O.Senge", "K.M.Smith"]}</t>
  </si>
  <si>
    <t>10.1515/znb-1993-0724</t>
  </si>
  <si>
    <t>WEQBUQ</t>
  </si>
  <si>
    <t>c1(C)c(C2=c3n4[Rh]56([Si](c7ccccc7)(c7ccccc7)C)[N]7=C(C=CC7=C(c7c(cc(cc7C)C)C)c7n5c(cc7)C(=C5[N]6=C2C=C5)c2c(C)cc(cc2C)C)C(=c4cc3)c2c(cc(cc2C)C)C)c(C)cc(C)c1</t>
  </si>
  <si>
    <t>{"audit_creation_date": "2007-02-26", "audit_creation_method": "CSD-ConQuest-V1", "database_code_CSD": "WEQBUQ", "database_code_depnum_ccdc_archive": "CCDC 627843", "chemical_formula_sum": "C69 H65 N4 Rh1 Si1", "chemical_formula_moiety": "", "journal_volume": "25", "journal_year": "2006", "journal_page_first": "4822", "journal_name_full": "Organometallics ", "publ_author_name": ["Lirong Zhang", "Kin Shing Chan"]}</t>
  </si>
  <si>
    <t>WETKEN</t>
  </si>
  <si>
    <t>C(#CC1=C(C#C[Si](C)(C)C)C2=[N]3[Pt@@]45n6c(=C2c2ccccc2)ccc6=C(c2ccccc2)C2=[N]4C(=C(c4ccc(C(=C13)c1ccccc1)n54)c1ccccc1)C=C2)[Si](C)(C)C</t>
  </si>
  <si>
    <t>{"audit_creation_date": "2013-04-23", "audit_creation_method": "CSD-ConQuest-V1", "database_code_CSD": "WETKEN", "database_code_depnum_ccdc_archive": "CCDC 882454", "chemical_formula_sum": "C54 H44 N4 Pt1 Si2", "chemical_formula_moiety": "", "journal_volume": "49", "journal_year": "2013", "journal_page_first": "2145", "journal_name_full": "Chem.Commun. ", "publ_author_name": ["L.J.K.Boerner", "M.Pink", "H.Park", "A.LeSueur", "J.M.Zaleski"]}</t>
  </si>
  <si>
    <t>10.1039/c3cc34471a</t>
  </si>
  <si>
    <t>WIQJUE</t>
  </si>
  <si>
    <t>[Ni@@]123[N]4=C5C=CC4=C(c4c(c(c(n14)C(=C1C=CC(=[N]31)C(=c1c(cc(=C5c3ccccc3)n21)[C@@H]([C](C)[O])[C](C)[O])c1ccccc1)c1ccccc1)Br)Br)c1ccccc1</t>
  </si>
  <si>
    <t>{"audit_creation_date": "2018-10-26", "audit_creation_method": "CSD-ConQuest-V1", "database_code_CSD": "WIQJUE", "database_code_depnum_ccdc_archive": "CCDC 1830111", "chemical_formula_sum": "C49 H32 Br2 N4 Ni1 O2", "chemical_formula_moiety": "", "journal_volume": "57", "journal_year": "2018", "journal_page_first": "13213", "journal_name_full": "Inorg.Chem. ", "publ_author_name": ["N.Chaudhri", "Lei Cong", "N.Grover", "Wenqian Shan", "K.Anshul", "M.Sankar", "K.M.Kadish"]}</t>
  </si>
  <si>
    <t>10.1021/acs.inorgchem.8b01690</t>
  </si>
  <si>
    <t>WOBGEZ</t>
  </si>
  <si>
    <t>c1ccc(cc1)[C@@H](C)[N][C][Ru]123([N]4=C5C=CC4=C(c4n3c(cc4)C(=C3[N]1=C(C=C3)C(=c1n2c(=C5c2c(OC[C@@H]3OC(OC3)(C)C)cccc2OC[C@@H]2OC(C)(C)OC2)cc1)c1c(OC[C@@H]2OC(OC2)(C)C)cccc1OC[C@H]1COC(C)(C)O1)c1c(cccc1OC[C@@H]1OC(OC1)(C)C)OC[C@H]1COC(C)(C)O1)c1c(OC[C@@H]2OC(OC2)(C)C)cccc1OC[C@@H]1OC(OC1)(C)C)[C][N][C@@H](c1ccccc1)C</t>
  </si>
  <si>
    <t>{"audit_creation_date": "2000-11-21", "audit_creation_method": "CSD-ConQuest-V1", "database_code_CSD": "WOBGEZ", "database_code_depnum_ccdc_archive": "CCDC 150321", "chemical_formula_sum": "C110 H126 N6 O24 Ru1", "chemical_formula_moiety": "", "journal_volume": "56", "journal_year": "2000", "journal_page_first": "955", "journal_name_full": "Acta Crystallogr.,Sect.C:Cryst.Struct.Commun. ", "publ_author_name": ["E.Galardon", "M.Lukas", "P.Le Maux", "L.Toupet", "T.Roisnel", "G.Simonneaux"]}</t>
  </si>
  <si>
    <t>10.1107/s0108270100007952</t>
  </si>
  <si>
    <t>WOTQAZ</t>
  </si>
  <si>
    <t>C1=CC2=C(c3ccc4C(=C5C=CC6=[N]5[Mn]5(n7c(=C6c6ccccc6)ccc7=C(c6ccccc6)C1=[N]25)(n34)Cl)c1ccccc1)c1ccccc1</t>
  </si>
  <si>
    <t>{"audit_creation_date": "2015-01-16", "audit_creation_method": "CSD-ConQuest-V1", "database_code_CSD": "WOTQAZ", "database_code_depnum_ccdc_archive": "CCDC 1042885", "chemical_formula_sum": "C54 H40 Cl1 Mn1 N8", "chemical_formula_moiety": "", "journal_volume": "71", "journal_year": "2015", "journal_page_first": "165", "journal_name_full": "Acta Crystallogr.,Sect.E:Cryst.Commun. ", "publ_author_name": ["W.Harhouri", "S.Dhifaoui", "S.Najmudin", "C.Bonifacio", "H.Nasri"]}</t>
  </si>
  <si>
    <t>10.1107/s205698901500050x</t>
  </si>
  <si>
    <t>WURQEF</t>
  </si>
  <si>
    <t>FC(F)(F)c1cc([C]([Ru]234(n5c6=C(C7=[N]2C(=C(c2ccc(C(=C8C=CC(=[N]48)C(=c5cc6)c4ccc(cc4)C)c4ccc(cc4)C)n32)c2ccc(cc2)C)C=C7)c2ccc(cc2)C)N2[CH]C=CC=C2)c2cc(ccc2)C(F)(F)F)ccc1</t>
  </si>
  <si>
    <t>{"audit_creation_date": "2003-05-15", "audit_creation_method": "CSD-ConQuest-V1", "database_code_CSD": "WURQEF", "database_code_depnum_ccdc_archive": "CCDC 205290", "chemical_formula_sum": "C68 H49 F6 N5 Ru1", "chemical_formula_moiety": "", "journal_volume": "59", "journal_year": "2003", "journal_page_first": "m37", "journal_name_full": "Acta Crystallogr.,Sect.C:Cryst.Struct.Commun. ", "publ_author_name": ["T.Harada", "S.Wada", "H.Yuge", "T.K.Miyamoto"]}</t>
  </si>
  <si>
    <t>10.1107/s0108270102022461</t>
  </si>
  <si>
    <t>WUTREJ</t>
  </si>
  <si>
    <t>C(C)C1=C(CC)C2=[N]3[Pd@@]45n6c(=C2)c(CC)c(CC)c6=C(C2=[N]4C(=C(c4c(c(c(C=C13)n54)CC)CC)c1ccccc1)C(=C2CC)CC)CCCC</t>
  </si>
  <si>
    <t>{"audit_creation_date": "2010-09-15", "audit_creation_method": "CSD-ConQuest-V1", "database_code_CSD": "WUTREJ", "database_code_depnum_ccdc_archive": "CCDC 756278", "chemical_formula_sum": "C46 H56 N4 Pd1", "chemical_formula_moiety": "", "journal_volume": "66", "journal_year": "2010", "journal_page_first": "3508", "journal_name_full": "Tetrahedron ", "publ_author_name": ["M.O.Senge", "J.Richter", "I.Bischoff", "A.Ryan"]}</t>
  </si>
  <si>
    <t>10.1016/j.tet.2010.03.008</t>
  </si>
  <si>
    <t>XAMHIC</t>
  </si>
  <si>
    <t>c1c(ccc(Br)c1)C1=c2n3[Zn@@]45[N]6=C(C=CC6=C(c6ccc(C(=C7C=CC1=[N]47)c1ccc(cc1)Br)n56)c1ccc(Br)cc1)C(=c3cc2)c1ccc(cc1)Br</t>
  </si>
  <si>
    <t>{"audit_creation_date": "2001-01-24", "audit_creation_method": "CSD-ConQuest-V1", "database_code_CSD": "XAMHIC", "database_code_depnum_ccdc_archive": "CCDC 152057", "chemical_formula_sum": "C53 H34 Br4 N4 O2 Zn1", "chemical_formula_moiety": "", "journal_volume": "24", "journal_year": "1996", "journal_page_first": "241", "journal_name_full": "J.Inclusion Phenom.Mol.Recog.Chem. ", "publ_author_name": ["P.Dastidar", "H.Krupitsky", "Z.Stein", "I.Goldberg"]}</t>
  </si>
  <si>
    <t>10.1007/bf01133382</t>
  </si>
  <si>
    <t xml:space="preserve">J.Inclusion Phenom.Mol.Recog.Chem. </t>
  </si>
  <si>
    <t>XAPJAD</t>
  </si>
  <si>
    <t>[Mn]123([N]4=C5C=CC4=C(c4ccc(cc4)OC)c4ccc(C(=C6C=CC(=[N]16)C(=c1ccc(=C5c5ccc(cc5)OC)n21)c1ccc(cc1)OC)c1ccc(cc1)OC)n34)Cl</t>
  </si>
  <si>
    <t>{"audit_creation_date": "2021-11-20", "audit_creation_method": "CSD-ConQuest-V1", "database_code_CSD": "XAPJAD", "database_code_depnum_ccdc_archive": "CCDC 2069240", "chemical_formula_sum": "C49 H37 Cl4 Mn1 N4 O4", "chemical_formula_moiety": "", "journal_volume": "60", "journal_year": "2021", "journal_page_first": "18024", "journal_name_full": "Inorg.Chem. ", "publ_author_name": ["R.Mazumdar", "Shankhadeep Saha", "B.Samanta", "B.Mondal"]}</t>
  </si>
  <si>
    <t>10.1021/acs.inorgchem.1c02606</t>
  </si>
  <si>
    <t>spin_state</t>
  </si>
  <si>
    <t>singlet</t>
  </si>
  <si>
    <t>triplet</t>
  </si>
  <si>
    <t>quintet</t>
  </si>
  <si>
    <t>count</t>
  </si>
  <si>
    <t>checked</t>
  </si>
  <si>
    <t>Solvent</t>
  </si>
  <si>
    <t>Integral</t>
  </si>
  <si>
    <t>Notes</t>
  </si>
  <si>
    <t>CDCl3</t>
  </si>
  <si>
    <t>[Mn(TPP)]BF4</t>
  </si>
  <si>
    <t>20H</t>
  </si>
  <si>
    <t>br d, aromatic porphyrin protons</t>
  </si>
  <si>
    <t>8H</t>
  </si>
  <si>
    <t>br s, paramagnetically shifted</t>
  </si>
  <si>
    <t>[Mn(TDClPP)]BF4</t>
  </si>
  <si>
    <t>br s</t>
  </si>
  <si>
    <t>4H</t>
  </si>
  <si>
    <t>CD3CN</t>
  </si>
  <si>
    <t>[Mn(TPFPP)]BF4</t>
  </si>
  <si>
    <t>Mn(TPP)(NClTs) (13a)</t>
  </si>
  <si>
    <t>3H</t>
  </si>
  <si>
    <t>br s, Ts methyl protons</t>
  </si>
  <si>
    <t>24H</t>
  </si>
  <si>
    <t>br m, aromatic protons</t>
  </si>
  <si>
    <t>Mn(TDClPP)(NClTs) (13b)</t>
  </si>
  <si>
    <t>15H</t>
  </si>
  <si>
    <t>br s, aromatic protons</t>
  </si>
  <si>
    <t>Mn(TPFPP)(NClTs) (13c)</t>
  </si>
  <si>
    <t>Mn(TPP)(NBrTs) (13d)</t>
  </si>
  <si>
    <t>Mn(TPP)(NITs) (13e)</t>
  </si>
  <si>
    <t>10.1002/anie.202108305</t>
  </si>
  <si>
    <t>10.1002/anie.202108306</t>
  </si>
  <si>
    <t>10.1002/anie.202108307</t>
  </si>
  <si>
    <t>10.1002/anie.202108308</t>
  </si>
  <si>
    <t>10.1002/anie.202108309</t>
  </si>
  <si>
    <t>10.1002/anie.202108310</t>
  </si>
  <si>
    <t>10.1002/anie.202108311</t>
  </si>
  <si>
    <t>10.1002/anie.202108312</t>
  </si>
  <si>
    <t>10.1002/anie.202108313</t>
  </si>
  <si>
    <t>10.1002/anie.202108314</t>
  </si>
  <si>
    <t>10.1002/anie.202108315</t>
  </si>
  <si>
    <t>10.1002/anie.202108316</t>
  </si>
  <si>
    <t>10.1002/anie.202108317</t>
  </si>
  <si>
    <t>10.1002/anie.202108318</t>
  </si>
  <si>
    <t>10.1002/anie.202108319</t>
  </si>
  <si>
    <t>10.1002/anie.202108320</t>
  </si>
  <si>
    <t>10.1002/anie.202108321</t>
  </si>
  <si>
    <t>10.1002/anie.202108322</t>
  </si>
  <si>
    <t>10.1002/anie.202108323</t>
  </si>
  <si>
    <t>10.1002/anie.202108324</t>
  </si>
  <si>
    <t>10.1002/anie.202108325</t>
  </si>
  <si>
    <t>paper_notation</t>
  </si>
  <si>
    <t>ε (M⁻¹cm⁻¹)</t>
  </si>
  <si>
    <t>MeCN</t>
  </si>
  <si>
    <t>3.6 × 10⁴</t>
  </si>
  <si>
    <t>Soret band</t>
  </si>
  <si>
    <t>3.2 × 10⁴</t>
  </si>
  <si>
    <t>6.3 × 10³</t>
  </si>
  <si>
    <t>5.3 × 10³</t>
  </si>
  <si>
    <t>2.7 × 10⁴</t>
  </si>
  <si>
    <t>2.9 × 10⁴</t>
  </si>
  <si>
    <t>6.7 × 10³</t>
  </si>
  <si>
    <t>3.8 × 10⁴</t>
  </si>
  <si>
    <t>4.5 × 10⁴</t>
  </si>
  <si>
    <t>7.3 × 10³</t>
  </si>
  <si>
    <t>2.2 × 10⁴</t>
  </si>
  <si>
    <t>3.0 × 10⁴</t>
  </si>
  <si>
    <t>4.6 × 10³</t>
  </si>
  <si>
    <t>4.1 × 10³</t>
  </si>
  <si>
    <t>1.4 × 10⁴</t>
  </si>
  <si>
    <t>2.0 × 10⁴</t>
  </si>
  <si>
    <t>3.6 × 10³</t>
  </si>
  <si>
    <t>3.5 × 10⁴</t>
  </si>
  <si>
    <t>4.3 × 10⁴</t>
  </si>
  <si>
    <t>7.5 × 10³</t>
  </si>
  <si>
    <t>4.2 × 10⁴</t>
  </si>
  <si>
    <t>4.7 × 10³</t>
  </si>
  <si>
    <t>4.8 × 10³</t>
  </si>
  <si>
    <t>5.2 × 10⁴</t>
  </si>
  <si>
    <t>7.8 × 10³</t>
  </si>
  <si>
    <t>8.2 × 10³</t>
  </si>
  <si>
    <t>10.1002/anie.202108326</t>
  </si>
  <si>
    <t>10.1002/anie.202108327</t>
  </si>
  <si>
    <t>10.1002/anie.202108328</t>
  </si>
  <si>
    <t>10.1002/anie.202108329</t>
  </si>
  <si>
    <t>10.1002/anie.202108330</t>
  </si>
  <si>
    <t>10.1002/anie.202108331</t>
  </si>
  <si>
    <t>Zn(OPP)</t>
  </si>
  <si>
    <t>s, β-H</t>
  </si>
  <si>
    <t>d, meso-phenyl o-H</t>
  </si>
  <si>
    <t>12H</t>
  </si>
  <si>
    <t>m, meso-phenyl m,p-H</t>
  </si>
  <si>
    <t>d, β-phenyl o-H</t>
  </si>
  <si>
    <t>m, β-phenyl m,p-H</t>
  </si>
  <si>
    <t>CD2Cl2</t>
  </si>
  <si>
    <t>[Zn(3-AP)(TPP)] (T3)</t>
  </si>
  <si>
    <t>s, phenyl o-H</t>
  </si>
  <si>
    <t>m, phenyl m-, p-H</t>
  </si>
  <si>
    <t>1H</t>
  </si>
  <si>
    <t>d, J = 8 Hz, pyridyl 4-H</t>
  </si>
  <si>
    <t>2H</t>
  </si>
  <si>
    <t>s, NH2</t>
  </si>
  <si>
    <t>1.72, 1.68</t>
  </si>
  <si>
    <t>d, J = 11 Hz, pyridyl 6-H and 2-H</t>
  </si>
  <si>
    <t>[Zn(4-AP)(TPP)] (T4)</t>
  </si>
  <si>
    <t>d, J = 7 Hz, phenyl o-H</t>
  </si>
  <si>
    <t>d, J = 7 Hz, pyridyl m-H</t>
  </si>
  <si>
    <t>s, NH</t>
  </si>
  <si>
    <t>d, J = 6 Hz, pyridyl o-H</t>
  </si>
  <si>
    <t>[Zn(3-AP)(OPP)] (O3)</t>
  </si>
  <si>
    <t>d, J = 12 Hz, meso-phenyl o-H</t>
  </si>
  <si>
    <t>m, meso-phenyl m-, p-H</t>
  </si>
  <si>
    <t>d, J = 5 Hz, β-phenyl o-H</t>
  </si>
  <si>
    <t>m, β-phenyl m-, p-H</t>
  </si>
  <si>
    <t>t, J = 7 Hz, pyridyl 5-H</t>
  </si>
  <si>
    <t>d, pyridyl 6-H</t>
  </si>
  <si>
    <t>s, pyridyl 2-H</t>
  </si>
  <si>
    <t>[Zn(4-AP)(OPP)] (O4)</t>
  </si>
  <si>
    <t>ABq, JAB = 15 Hz, meso-phenyl o-H</t>
  </si>
  <si>
    <t>d, J = 6 Hz, pyridyl m-H</t>
  </si>
  <si>
    <t>10.1002/ejic.200801041</t>
  </si>
  <si>
    <t>10.1002/ejic.200801042</t>
  </si>
  <si>
    <t>10.1002/ejic.200801043</t>
  </si>
  <si>
    <t>10.1002/ejic.200801044</t>
  </si>
  <si>
    <t>10.1002/ejic.200801045</t>
  </si>
  <si>
    <t>10.1002/ejic.200801046</t>
  </si>
  <si>
    <t>10.1002/ejic.200801047</t>
  </si>
  <si>
    <t>10.1002/ejic.200801048</t>
  </si>
  <si>
    <t>10.1002/ejic.200801049</t>
  </si>
  <si>
    <t>10.1002/ejic.200801050</t>
  </si>
  <si>
    <t>10.1002/ejic.200801051</t>
  </si>
  <si>
    <t>10.1002/ejic.200801052</t>
  </si>
  <si>
    <t>10.1002/ejic.200801053</t>
  </si>
  <si>
    <t>10.1002/ejic.200801054</t>
  </si>
  <si>
    <t>10.1002/ejic.200801055</t>
  </si>
  <si>
    <t>10.1002/ejic.200801056</t>
  </si>
  <si>
    <t>10.1002/ejic.200801057</t>
  </si>
  <si>
    <t>10.1002/ejic.200801058</t>
  </si>
  <si>
    <t>10.1002/ejic.200801059</t>
  </si>
  <si>
    <t>10.1002/ejic.200801060</t>
  </si>
  <si>
    <t>10.1002/ejic.200801061</t>
  </si>
  <si>
    <t>10.1002/ejic.200801062</t>
  </si>
  <si>
    <t>10.1002/ejic.200801063</t>
  </si>
  <si>
    <t>10.1002/ejic.200801064</t>
  </si>
  <si>
    <t>10.1002/ejic.200801065</t>
  </si>
  <si>
    <t>10.1002/ejic.200801066</t>
  </si>
  <si>
    <t>10.1002/ejic.200801067</t>
  </si>
  <si>
    <t>10.1002/ejic.200801068</t>
  </si>
  <si>
    <t>10.1002/ejic.200801069</t>
  </si>
  <si>
    <t>10.1002/ejic.200801070</t>
  </si>
  <si>
    <t>10.1002/ejic.200801071</t>
  </si>
  <si>
    <t>10.1002/ejic.200801072</t>
  </si>
  <si>
    <t>10.1002/ejic.200801073</t>
  </si>
  <si>
    <t>10.1002/ejic.200801074</t>
  </si>
  <si>
    <t>CH2Cl2</t>
  </si>
  <si>
    <t>Not reported</t>
  </si>
  <si>
    <t>Q band</t>
  </si>
  <si>
    <t>[Zn(3-AP)(DPP)] (D3)</t>
  </si>
  <si>
    <t>Absorption band</t>
  </si>
  <si>
    <t>[Zn(DPP)(4-AP)] (D4)</t>
  </si>
  <si>
    <t>high spin</t>
  </si>
  <si>
    <t>bad paper</t>
  </si>
  <si>
    <t>(OEP)Ru(NO)(p-C6H4F)</t>
  </si>
  <si>
    <t>s, meso-H of OEP</t>
  </si>
  <si>
    <t>—</t>
  </si>
  <si>
    <t>s, CH2Cl2 (residual solvent)</t>
  </si>
  <si>
    <t>t, J = 9 Hz, m-H of p-C6H4F (overlapping with OEP CH2CH3)</t>
  </si>
  <si>
    <t>CD3Cl/CDCl3</t>
  </si>
  <si>
    <t>16H</t>
  </si>
  <si>
    <t>m, CH2CH3 of OEP</t>
  </si>
  <si>
    <t>t, J = 8 Hz, CH3CH2 of OEP</t>
  </si>
  <si>
    <t>d, J = 9 Hz, o-H of p-C6H4F</t>
  </si>
  <si>
    <t>d, J = 9 Hz, o′-H of p-C6H4F</t>
  </si>
  <si>
    <t>weak band / Q region</t>
  </si>
  <si>
    <t>(OEP)Fe(NO)(p-C6H4F)</t>
  </si>
  <si>
    <t>lambdamax</t>
  </si>
  <si>
    <t>structure_name</t>
  </si>
  <si>
    <t>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</si>
</sst>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2"/>
  <sheetViews>
    <sheetView workbookViewId="0">
      <selection activeCell="D1" sqref="D1"/>
    </sheetView>
  </sheetViews>
  <sheetFormatPr defaultRowHeight="15" x14ac:dyDescent="0.25"/>
  <cols>
    <col min="7" max="7" width="63.28515625" bestFit="1" customWidth="1"/>
    <col min="8" max="8" width="10.140625" bestFit="1" customWidth="1"/>
    <col min="9" max="9" width="45.140625" bestFit="1" customWidth="1"/>
    <col min="10" max="10" width="18.28515625" bestFit="1" customWidth="1"/>
  </cols>
  <sheetData>
    <row r="1" spans="1:10" x14ac:dyDescent="0.25">
      <c r="A1" t="s">
        <v>0</v>
      </c>
      <c r="B1" t="s">
        <v>1456</v>
      </c>
      <c r="C1" t="s">
        <v>1457</v>
      </c>
      <c r="D1" t="s">
        <v>1458</v>
      </c>
      <c r="E1" t="s">
        <v>1</v>
      </c>
      <c r="F1" t="s">
        <v>2</v>
      </c>
      <c r="G1" t="s">
        <v>3</v>
      </c>
      <c r="H1" t="s">
        <v>1455</v>
      </c>
      <c r="I1" t="s">
        <v>4</v>
      </c>
      <c r="J1" t="s">
        <v>1507</v>
      </c>
    </row>
    <row r="2" spans="1:10" x14ac:dyDescent="0.25">
      <c r="A2" t="s">
        <v>5</v>
      </c>
      <c r="B2">
        <v>-4118.5998355676302</v>
      </c>
      <c r="C2">
        <v>-4118.6148152703199</v>
      </c>
      <c r="D2">
        <v>-4118.6348470775101</v>
      </c>
      <c r="E2" t="s">
        <v>6</v>
      </c>
      <c r="F2" t="s">
        <v>7</v>
      </c>
      <c r="G2" t="s">
        <v>8</v>
      </c>
      <c r="H2" t="str">
        <f t="shared" ref="H2:H65" si="0">IF(OR(B2="", C2="", D2=""), "", INDEX($B$1:$D$1,MATCH(MIN(B2:D2),B2:D2,0)))</f>
        <v>quintet</v>
      </c>
      <c r="I2" t="s">
        <v>9</v>
      </c>
    </row>
    <row r="3" spans="1:10" x14ac:dyDescent="0.25">
      <c r="A3" t="s">
        <v>10</v>
      </c>
      <c r="B3">
        <v>-4852.7754664596796</v>
      </c>
      <c r="C3">
        <v>-4852.75485964574</v>
      </c>
      <c r="D3">
        <v>-4852.6936572244103</v>
      </c>
      <c r="E3" t="s">
        <v>11</v>
      </c>
      <c r="F3" t="s">
        <v>12</v>
      </c>
      <c r="G3" t="s">
        <v>13</v>
      </c>
      <c r="H3" t="str">
        <f t="shared" si="0"/>
        <v>singlet</v>
      </c>
      <c r="I3" t="s">
        <v>14</v>
      </c>
    </row>
    <row r="4" spans="1:10" x14ac:dyDescent="0.25">
      <c r="A4" t="s">
        <v>15</v>
      </c>
      <c r="E4" t="s">
        <v>16</v>
      </c>
      <c r="F4" t="s">
        <v>17</v>
      </c>
      <c r="G4" t="s">
        <v>18</v>
      </c>
      <c r="H4" t="str">
        <f t="shared" si="0"/>
        <v/>
      </c>
      <c r="I4" t="s">
        <v>19</v>
      </c>
    </row>
    <row r="5" spans="1:10" x14ac:dyDescent="0.25">
      <c r="A5" t="s">
        <v>20</v>
      </c>
      <c r="B5">
        <v>-2639.5217177447298</v>
      </c>
      <c r="E5" t="s">
        <v>21</v>
      </c>
      <c r="F5" t="s">
        <v>22</v>
      </c>
      <c r="G5" t="s">
        <v>23</v>
      </c>
      <c r="H5" t="str">
        <f t="shared" si="0"/>
        <v/>
      </c>
      <c r="I5" t="s">
        <v>14</v>
      </c>
    </row>
    <row r="6" spans="1:10" x14ac:dyDescent="0.25">
      <c r="A6" t="s">
        <v>24</v>
      </c>
      <c r="B6">
        <v>-5632.3617130798602</v>
      </c>
      <c r="C6">
        <v>-5632.3032734455001</v>
      </c>
      <c r="D6">
        <v>-5632.23483511213</v>
      </c>
      <c r="E6" t="s">
        <v>25</v>
      </c>
      <c r="F6" t="s">
        <v>26</v>
      </c>
      <c r="G6" t="s">
        <v>27</v>
      </c>
      <c r="H6" t="str">
        <f t="shared" si="0"/>
        <v>singlet</v>
      </c>
      <c r="I6" t="s">
        <v>28</v>
      </c>
    </row>
    <row r="7" spans="1:10" x14ac:dyDescent="0.25">
      <c r="A7" t="s">
        <v>29</v>
      </c>
      <c r="B7">
        <v>-7521.1771950034199</v>
      </c>
      <c r="E7" t="s">
        <v>30</v>
      </c>
      <c r="F7" t="s">
        <v>31</v>
      </c>
      <c r="G7" t="s">
        <v>32</v>
      </c>
      <c r="H7" t="str">
        <f t="shared" si="0"/>
        <v/>
      </c>
      <c r="I7" t="s">
        <v>33</v>
      </c>
    </row>
    <row r="8" spans="1:10" x14ac:dyDescent="0.25">
      <c r="A8" t="s">
        <v>34</v>
      </c>
      <c r="B8">
        <v>-2485.4994877959698</v>
      </c>
      <c r="C8">
        <v>-2485.4286259566502</v>
      </c>
      <c r="D8">
        <v>-2485.3564897638998</v>
      </c>
      <c r="E8" t="s">
        <v>35</v>
      </c>
      <c r="F8" t="s">
        <v>36</v>
      </c>
      <c r="G8" t="s">
        <v>37</v>
      </c>
      <c r="H8" t="str">
        <f t="shared" si="0"/>
        <v>singlet</v>
      </c>
      <c r="I8" t="s">
        <v>14</v>
      </c>
    </row>
    <row r="9" spans="1:10" x14ac:dyDescent="0.25">
      <c r="A9" t="s">
        <v>38</v>
      </c>
      <c r="B9">
        <v>-4392.2605913121997</v>
      </c>
      <c r="C9">
        <v>-4392.3323253322296</v>
      </c>
      <c r="D9">
        <v>-4392.2711172061699</v>
      </c>
      <c r="E9" t="s">
        <v>39</v>
      </c>
      <c r="F9" t="s">
        <v>40</v>
      </c>
      <c r="G9" t="s">
        <v>41</v>
      </c>
      <c r="H9" t="str">
        <f t="shared" si="0"/>
        <v>triplet</v>
      </c>
      <c r="I9" t="s">
        <v>42</v>
      </c>
    </row>
    <row r="10" spans="1:10" x14ac:dyDescent="0.25">
      <c r="A10" t="s">
        <v>43</v>
      </c>
      <c r="B10">
        <v>-4470.7319019184197</v>
      </c>
      <c r="C10">
        <v>-4470.8036150526104</v>
      </c>
      <c r="D10">
        <v>-4470.74350501971</v>
      </c>
      <c r="E10" t="s">
        <v>44</v>
      </c>
      <c r="F10" t="s">
        <v>45</v>
      </c>
      <c r="G10" t="s">
        <v>41</v>
      </c>
      <c r="H10" t="str">
        <f t="shared" si="0"/>
        <v>triplet</v>
      </c>
      <c r="I10" t="s">
        <v>42</v>
      </c>
    </row>
    <row r="11" spans="1:10" x14ac:dyDescent="0.25">
      <c r="A11" t="s">
        <v>46</v>
      </c>
      <c r="C11">
        <v>-4392.3346720883901</v>
      </c>
      <c r="D11">
        <v>-4392.2756895478096</v>
      </c>
      <c r="E11" t="s">
        <v>47</v>
      </c>
      <c r="F11" t="s">
        <v>48</v>
      </c>
      <c r="G11" t="s">
        <v>41</v>
      </c>
      <c r="H11" t="str">
        <f t="shared" si="0"/>
        <v/>
      </c>
      <c r="I11" t="s">
        <v>42</v>
      </c>
    </row>
    <row r="12" spans="1:10" x14ac:dyDescent="0.25">
      <c r="A12" t="s">
        <v>49</v>
      </c>
      <c r="B12">
        <v>-3522.9185865498798</v>
      </c>
      <c r="C12">
        <v>-3522.85020117768</v>
      </c>
      <c r="D12">
        <v>-3522.78232434447</v>
      </c>
      <c r="E12" t="s">
        <v>50</v>
      </c>
      <c r="F12" t="s">
        <v>51</v>
      </c>
      <c r="G12" t="s">
        <v>52</v>
      </c>
      <c r="H12" t="str">
        <f t="shared" si="0"/>
        <v>singlet</v>
      </c>
      <c r="I12" t="s">
        <v>53</v>
      </c>
    </row>
    <row r="13" spans="1:10" x14ac:dyDescent="0.25">
      <c r="A13" t="s">
        <v>54</v>
      </c>
      <c r="B13">
        <v>-4241.5171745018497</v>
      </c>
      <c r="C13">
        <v>-4241.4576838902103</v>
      </c>
      <c r="D13">
        <v>-4241.3894068231502</v>
      </c>
      <c r="E13" t="s">
        <v>55</v>
      </c>
      <c r="F13" t="s">
        <v>56</v>
      </c>
      <c r="G13" t="s">
        <v>57</v>
      </c>
      <c r="H13" t="str">
        <f t="shared" si="0"/>
        <v>singlet</v>
      </c>
      <c r="I13" t="s">
        <v>58</v>
      </c>
    </row>
    <row r="14" spans="1:10" x14ac:dyDescent="0.25">
      <c r="A14" t="s">
        <v>59</v>
      </c>
      <c r="B14">
        <v>-2656.7013044352302</v>
      </c>
      <c r="C14">
        <v>-2656.6289277708902</v>
      </c>
      <c r="D14">
        <v>-2656.55521508321</v>
      </c>
      <c r="E14" t="s">
        <v>60</v>
      </c>
      <c r="F14" t="s">
        <v>61</v>
      </c>
      <c r="G14" t="s">
        <v>62</v>
      </c>
      <c r="H14" t="str">
        <f t="shared" si="0"/>
        <v>singlet</v>
      </c>
      <c r="I14" t="s">
        <v>63</v>
      </c>
    </row>
    <row r="15" spans="1:10" x14ac:dyDescent="0.25">
      <c r="A15" t="s">
        <v>64</v>
      </c>
      <c r="B15">
        <v>-1964.82181658838</v>
      </c>
      <c r="C15">
        <v>-1964.7464473754401</v>
      </c>
      <c r="D15">
        <v>-1964.6720675847901</v>
      </c>
      <c r="E15" t="s">
        <v>65</v>
      </c>
      <c r="F15" t="s">
        <v>66</v>
      </c>
      <c r="G15" t="s">
        <v>67</v>
      </c>
      <c r="H15" t="str">
        <f t="shared" si="0"/>
        <v>singlet</v>
      </c>
      <c r="I15" t="s">
        <v>58</v>
      </c>
    </row>
    <row r="16" spans="1:10" x14ac:dyDescent="0.25">
      <c r="A16" t="s">
        <v>68</v>
      </c>
      <c r="E16" t="s">
        <v>69</v>
      </c>
      <c r="F16" t="s">
        <v>70</v>
      </c>
      <c r="G16" t="s">
        <v>71</v>
      </c>
      <c r="H16" t="str">
        <f t="shared" si="0"/>
        <v/>
      </c>
      <c r="I16" t="s">
        <v>72</v>
      </c>
    </row>
    <row r="17" spans="1:10" x14ac:dyDescent="0.25">
      <c r="A17" t="s">
        <v>73</v>
      </c>
      <c r="B17">
        <v>-4806.0585642803298</v>
      </c>
      <c r="C17">
        <v>-4805.9809294707902</v>
      </c>
      <c r="D17">
        <v>-4805.9075191099801</v>
      </c>
      <c r="E17" t="s">
        <v>74</v>
      </c>
      <c r="F17" t="s">
        <v>75</v>
      </c>
      <c r="G17" t="s">
        <v>76</v>
      </c>
      <c r="H17" t="str">
        <f t="shared" si="0"/>
        <v>singlet</v>
      </c>
      <c r="I17" t="s">
        <v>77</v>
      </c>
    </row>
    <row r="18" spans="1:10" x14ac:dyDescent="0.25">
      <c r="A18" t="s">
        <v>78</v>
      </c>
      <c r="B18">
        <v>-4195.1999258843398</v>
      </c>
      <c r="C18">
        <v>-4195.1472457788605</v>
      </c>
      <c r="D18">
        <v>-4195.0781338096904</v>
      </c>
      <c r="E18" t="s">
        <v>79</v>
      </c>
      <c r="F18" t="s">
        <v>80</v>
      </c>
      <c r="G18" t="s">
        <v>81</v>
      </c>
      <c r="H18" t="str">
        <f t="shared" si="0"/>
        <v>singlet</v>
      </c>
      <c r="I18" t="s">
        <v>82</v>
      </c>
    </row>
    <row r="19" spans="1:10" x14ac:dyDescent="0.25">
      <c r="A19" t="s">
        <v>83</v>
      </c>
      <c r="B19">
        <v>-3579.58466200564</v>
      </c>
      <c r="C19">
        <v>-3579.5470174101001</v>
      </c>
      <c r="D19">
        <v>-3579.4752830233401</v>
      </c>
      <c r="E19" t="s">
        <v>84</v>
      </c>
      <c r="F19" t="s">
        <v>85</v>
      </c>
      <c r="G19" t="s">
        <v>86</v>
      </c>
      <c r="H19" t="str">
        <f t="shared" si="0"/>
        <v>singlet</v>
      </c>
      <c r="I19" t="s">
        <v>77</v>
      </c>
    </row>
    <row r="20" spans="1:10" x14ac:dyDescent="0.25">
      <c r="A20" t="s">
        <v>87</v>
      </c>
      <c r="E20" t="s">
        <v>88</v>
      </c>
      <c r="F20" t="s">
        <v>89</v>
      </c>
      <c r="G20" t="s">
        <v>90</v>
      </c>
      <c r="H20" t="str">
        <f t="shared" si="0"/>
        <v/>
      </c>
      <c r="I20" t="s">
        <v>91</v>
      </c>
    </row>
    <row r="21" spans="1:10" x14ac:dyDescent="0.25">
      <c r="A21" t="s">
        <v>92</v>
      </c>
      <c r="B21">
        <v>-2651.99520570712</v>
      </c>
      <c r="C21">
        <v>-2651.9686432705798</v>
      </c>
      <c r="D21">
        <v>-2651.90783345203</v>
      </c>
      <c r="E21" t="s">
        <v>93</v>
      </c>
      <c r="F21" t="s">
        <v>94</v>
      </c>
      <c r="G21" t="s">
        <v>95</v>
      </c>
      <c r="H21" t="str">
        <f t="shared" si="0"/>
        <v>singlet</v>
      </c>
      <c r="I21" t="s">
        <v>77</v>
      </c>
    </row>
    <row r="22" spans="1:10" x14ac:dyDescent="0.25">
      <c r="A22" t="s">
        <v>96</v>
      </c>
      <c r="B22">
        <v>-3673.5363344601201</v>
      </c>
      <c r="C22">
        <v>-3673.4982827456201</v>
      </c>
      <c r="D22">
        <v>-3673.4413463098199</v>
      </c>
      <c r="E22" t="s">
        <v>97</v>
      </c>
      <c r="F22" t="s">
        <v>98</v>
      </c>
      <c r="G22" t="s">
        <v>99</v>
      </c>
      <c r="H22" t="str">
        <f t="shared" si="0"/>
        <v>singlet</v>
      </c>
      <c r="I22" t="s">
        <v>77</v>
      </c>
    </row>
    <row r="23" spans="1:10" x14ac:dyDescent="0.25">
      <c r="A23" t="s">
        <v>100</v>
      </c>
      <c r="B23">
        <v>-2875.0785901448198</v>
      </c>
      <c r="C23">
        <v>-2875.0110704092599</v>
      </c>
      <c r="D23">
        <v>-2874.93705122355</v>
      </c>
      <c r="E23" t="s">
        <v>101</v>
      </c>
      <c r="F23" t="s">
        <v>102</v>
      </c>
      <c r="G23" t="s">
        <v>103</v>
      </c>
      <c r="H23" t="str">
        <f t="shared" si="0"/>
        <v>singlet</v>
      </c>
      <c r="I23" t="s">
        <v>14</v>
      </c>
    </row>
    <row r="24" spans="1:10" x14ac:dyDescent="0.25">
      <c r="A24" t="s">
        <v>104</v>
      </c>
      <c r="B24">
        <v>-4762.8044552172696</v>
      </c>
      <c r="C24">
        <v>-4762.7449513900401</v>
      </c>
      <c r="D24">
        <v>-4762.6766705134396</v>
      </c>
      <c r="E24" t="s">
        <v>105</v>
      </c>
      <c r="F24" t="s">
        <v>106</v>
      </c>
      <c r="G24" t="s">
        <v>107</v>
      </c>
      <c r="H24" t="str">
        <f t="shared" si="0"/>
        <v>singlet</v>
      </c>
      <c r="I24" t="s">
        <v>108</v>
      </c>
    </row>
    <row r="25" spans="1:10" x14ac:dyDescent="0.25">
      <c r="A25" t="s">
        <v>109</v>
      </c>
      <c r="B25">
        <v>-3991.8348965703799</v>
      </c>
      <c r="C25">
        <v>-3991.77647496192</v>
      </c>
      <c r="D25">
        <v>-3991.7083780357202</v>
      </c>
      <c r="E25" t="s">
        <v>110</v>
      </c>
      <c r="F25" t="s">
        <v>111</v>
      </c>
      <c r="G25" t="s">
        <v>112</v>
      </c>
      <c r="H25" t="str">
        <f t="shared" si="0"/>
        <v>singlet</v>
      </c>
      <c r="I25" t="s">
        <v>113</v>
      </c>
      <c r="J25" t="s">
        <v>1551</v>
      </c>
    </row>
    <row r="26" spans="1:10" x14ac:dyDescent="0.25">
      <c r="A26" t="s">
        <v>114</v>
      </c>
      <c r="B26">
        <v>-3991.8413984696799</v>
      </c>
      <c r="C26">
        <v>-3991.78322862715</v>
      </c>
      <c r="D26">
        <v>-3991.7147830561198</v>
      </c>
      <c r="E26" t="s">
        <v>115</v>
      </c>
      <c r="F26" t="s">
        <v>116</v>
      </c>
      <c r="G26" t="s">
        <v>112</v>
      </c>
      <c r="H26" t="str">
        <f t="shared" si="0"/>
        <v>singlet</v>
      </c>
      <c r="I26" t="s">
        <v>113</v>
      </c>
      <c r="J26" t="s">
        <v>1560</v>
      </c>
    </row>
    <row r="27" spans="1:10" x14ac:dyDescent="0.25">
      <c r="A27" t="s">
        <v>117</v>
      </c>
      <c r="B27">
        <v>-4914.37488232756</v>
      </c>
      <c r="C27">
        <v>-4914.31632163628</v>
      </c>
      <c r="D27">
        <v>-4914.2494623906996</v>
      </c>
      <c r="E27" t="s">
        <v>118</v>
      </c>
      <c r="F27" t="s">
        <v>119</v>
      </c>
      <c r="G27" t="s">
        <v>112</v>
      </c>
      <c r="H27" t="str">
        <f t="shared" si="0"/>
        <v>singlet</v>
      </c>
      <c r="I27" t="s">
        <v>113</v>
      </c>
      <c r="J27" t="s">
        <v>1565</v>
      </c>
    </row>
    <row r="28" spans="1:10" x14ac:dyDescent="0.25">
      <c r="A28" t="s">
        <v>120</v>
      </c>
      <c r="B28">
        <v>-5836.9184045464799</v>
      </c>
      <c r="C28">
        <v>-5836.8707513912304</v>
      </c>
      <c r="D28">
        <v>-5836.8054085198601</v>
      </c>
      <c r="E28" t="s">
        <v>121</v>
      </c>
      <c r="F28" t="s">
        <v>122</v>
      </c>
      <c r="G28" t="s">
        <v>112</v>
      </c>
      <c r="H28" t="str">
        <f t="shared" si="0"/>
        <v>singlet</v>
      </c>
      <c r="I28" t="s">
        <v>113</v>
      </c>
      <c r="J28" t="s">
        <v>1615</v>
      </c>
    </row>
    <row r="29" spans="1:10" x14ac:dyDescent="0.25">
      <c r="A29" t="s">
        <v>123</v>
      </c>
      <c r="B29">
        <v>-3875.22278766817</v>
      </c>
      <c r="D29">
        <v>-3875.14245163431</v>
      </c>
      <c r="E29" t="s">
        <v>124</v>
      </c>
      <c r="F29" t="s">
        <v>125</v>
      </c>
      <c r="G29" t="s">
        <v>126</v>
      </c>
      <c r="H29" t="str">
        <f t="shared" si="0"/>
        <v/>
      </c>
      <c r="I29" t="s">
        <v>127</v>
      </c>
    </row>
    <row r="30" spans="1:10" x14ac:dyDescent="0.25">
      <c r="A30" t="s">
        <v>128</v>
      </c>
      <c r="B30">
        <v>-14229.547353653399</v>
      </c>
      <c r="C30">
        <v>-14229.4954405718</v>
      </c>
      <c r="D30">
        <v>-14229.425566811</v>
      </c>
      <c r="E30" t="s">
        <v>129</v>
      </c>
      <c r="F30" t="s">
        <v>130</v>
      </c>
      <c r="G30" t="s">
        <v>131</v>
      </c>
      <c r="H30" t="str">
        <f t="shared" si="0"/>
        <v>singlet</v>
      </c>
      <c r="I30" t="s">
        <v>132</v>
      </c>
    </row>
    <row r="31" spans="1:10" x14ac:dyDescent="0.25">
      <c r="A31" t="s">
        <v>133</v>
      </c>
      <c r="B31">
        <v>-3937.9410281846699</v>
      </c>
      <c r="C31">
        <v>-3937.8819938300899</v>
      </c>
      <c r="D31">
        <v>-3937.8137474113901</v>
      </c>
      <c r="E31" t="s">
        <v>134</v>
      </c>
      <c r="F31" t="s">
        <v>135</v>
      </c>
      <c r="G31" t="s">
        <v>136</v>
      </c>
      <c r="H31" t="str">
        <f t="shared" si="0"/>
        <v>singlet</v>
      </c>
      <c r="I31" t="s">
        <v>137</v>
      </c>
    </row>
    <row r="32" spans="1:10" x14ac:dyDescent="0.25">
      <c r="A32" t="s">
        <v>138</v>
      </c>
      <c r="B32">
        <v>-3948.63872986156</v>
      </c>
      <c r="C32">
        <v>-3948.5694976401501</v>
      </c>
      <c r="D32">
        <v>-3948.5532612987599</v>
      </c>
      <c r="E32" t="s">
        <v>139</v>
      </c>
      <c r="F32" t="s">
        <v>140</v>
      </c>
      <c r="G32" t="s">
        <v>141</v>
      </c>
      <c r="H32" t="str">
        <f t="shared" si="0"/>
        <v>singlet</v>
      </c>
      <c r="I32" t="s">
        <v>142</v>
      </c>
    </row>
    <row r="33" spans="1:9" x14ac:dyDescent="0.25">
      <c r="A33" t="s">
        <v>143</v>
      </c>
      <c r="B33">
        <v>-5309.0501147456098</v>
      </c>
      <c r="C33">
        <v>-5309.0269040924704</v>
      </c>
      <c r="E33" t="s">
        <v>144</v>
      </c>
      <c r="F33" t="s">
        <v>145</v>
      </c>
      <c r="G33" t="s">
        <v>146</v>
      </c>
      <c r="H33" t="str">
        <f t="shared" si="0"/>
        <v/>
      </c>
      <c r="I33" t="s">
        <v>147</v>
      </c>
    </row>
    <row r="34" spans="1:9" x14ac:dyDescent="0.25">
      <c r="A34" t="s">
        <v>148</v>
      </c>
      <c r="B34">
        <v>-6594.6856532027596</v>
      </c>
      <c r="C34">
        <v>-6594.6278251633403</v>
      </c>
      <c r="D34">
        <v>-6594.5599995119801</v>
      </c>
      <c r="E34" t="s">
        <v>149</v>
      </c>
      <c r="F34" t="s">
        <v>150</v>
      </c>
      <c r="G34" t="s">
        <v>151</v>
      </c>
      <c r="H34" t="str">
        <f t="shared" si="0"/>
        <v>singlet</v>
      </c>
      <c r="I34" t="s">
        <v>152</v>
      </c>
    </row>
    <row r="35" spans="1:9" x14ac:dyDescent="0.25">
      <c r="A35" t="s">
        <v>153</v>
      </c>
      <c r="B35">
        <v>-4749.9279539842501</v>
      </c>
      <c r="C35">
        <v>-4749.9086534888002</v>
      </c>
      <c r="D35">
        <v>-4749.8472266375702</v>
      </c>
      <c r="E35" t="s">
        <v>154</v>
      </c>
      <c r="F35" t="s">
        <v>155</v>
      </c>
      <c r="G35" t="s">
        <v>156</v>
      </c>
      <c r="H35" t="str">
        <f t="shared" si="0"/>
        <v>singlet</v>
      </c>
      <c r="I35" t="s">
        <v>108</v>
      </c>
    </row>
    <row r="36" spans="1:9" x14ac:dyDescent="0.25">
      <c r="A36" t="s">
        <v>157</v>
      </c>
      <c r="B36">
        <v>-2299.7178834669198</v>
      </c>
      <c r="C36">
        <v>-2299.6480134262802</v>
      </c>
      <c r="D36">
        <v>-2299.5605656640801</v>
      </c>
      <c r="E36" t="s">
        <v>158</v>
      </c>
      <c r="F36" t="s">
        <v>159</v>
      </c>
      <c r="G36" t="s">
        <v>160</v>
      </c>
      <c r="H36" t="str">
        <f t="shared" si="0"/>
        <v>singlet</v>
      </c>
      <c r="I36" t="s">
        <v>161</v>
      </c>
    </row>
    <row r="37" spans="1:9" x14ac:dyDescent="0.25">
      <c r="A37" t="s">
        <v>162</v>
      </c>
      <c r="B37">
        <v>-3613.8099819259701</v>
      </c>
      <c r="C37">
        <v>-3613.74143507189</v>
      </c>
      <c r="D37">
        <v>-3613.6732513257798</v>
      </c>
      <c r="E37" t="s">
        <v>163</v>
      </c>
      <c r="F37" t="s">
        <v>164</v>
      </c>
      <c r="G37" t="s">
        <v>165</v>
      </c>
      <c r="H37" t="str">
        <f t="shared" si="0"/>
        <v>singlet</v>
      </c>
      <c r="I37" t="s">
        <v>137</v>
      </c>
    </row>
    <row r="38" spans="1:9" x14ac:dyDescent="0.25">
      <c r="A38" t="s">
        <v>166</v>
      </c>
      <c r="B38">
        <v>-4451.28809169337</v>
      </c>
      <c r="C38">
        <v>-4451.2249805762503</v>
      </c>
      <c r="D38">
        <v>-4451.1573230739796</v>
      </c>
      <c r="E38" t="s">
        <v>167</v>
      </c>
      <c r="F38" t="s">
        <v>168</v>
      </c>
      <c r="G38" t="s">
        <v>169</v>
      </c>
      <c r="H38" t="str">
        <f t="shared" si="0"/>
        <v>singlet</v>
      </c>
      <c r="I38" t="s">
        <v>170</v>
      </c>
    </row>
    <row r="39" spans="1:9" x14ac:dyDescent="0.25">
      <c r="A39" t="s">
        <v>171</v>
      </c>
      <c r="E39" t="s">
        <v>172</v>
      </c>
      <c r="F39" t="s">
        <v>173</v>
      </c>
      <c r="G39" t="s">
        <v>174</v>
      </c>
      <c r="H39" t="str">
        <f t="shared" si="0"/>
        <v/>
      </c>
      <c r="I39" t="s">
        <v>77</v>
      </c>
    </row>
    <row r="40" spans="1:9" x14ac:dyDescent="0.25">
      <c r="A40" t="s">
        <v>175</v>
      </c>
      <c r="E40" t="s">
        <v>176</v>
      </c>
      <c r="F40" t="s">
        <v>177</v>
      </c>
      <c r="G40" t="s">
        <v>174</v>
      </c>
      <c r="H40" t="str">
        <f t="shared" si="0"/>
        <v/>
      </c>
      <c r="I40" t="s">
        <v>77</v>
      </c>
    </row>
    <row r="41" spans="1:9" x14ac:dyDescent="0.25">
      <c r="A41" t="s">
        <v>178</v>
      </c>
      <c r="B41">
        <v>-3950.5699398349202</v>
      </c>
      <c r="C41">
        <v>-3950.5448383412299</v>
      </c>
      <c r="D41">
        <v>-3950.58886656917</v>
      </c>
      <c r="E41" t="s">
        <v>179</v>
      </c>
      <c r="F41" t="s">
        <v>180</v>
      </c>
      <c r="G41" t="s">
        <v>181</v>
      </c>
      <c r="H41" t="str">
        <f t="shared" si="0"/>
        <v>quintet</v>
      </c>
      <c r="I41" t="s">
        <v>91</v>
      </c>
    </row>
    <row r="42" spans="1:9" x14ac:dyDescent="0.25">
      <c r="A42" t="s">
        <v>182</v>
      </c>
      <c r="B42">
        <v>-2028.84300660341</v>
      </c>
      <c r="C42">
        <v>-2028.7705784724001</v>
      </c>
      <c r="D42">
        <v>-2028.69707588508</v>
      </c>
      <c r="E42" t="s">
        <v>183</v>
      </c>
      <c r="F42" t="s">
        <v>184</v>
      </c>
      <c r="G42" t="s">
        <v>185</v>
      </c>
      <c r="H42" t="str">
        <f t="shared" si="0"/>
        <v>singlet</v>
      </c>
      <c r="I42" t="s">
        <v>137</v>
      </c>
    </row>
    <row r="43" spans="1:9" x14ac:dyDescent="0.25">
      <c r="A43" t="s">
        <v>186</v>
      </c>
      <c r="B43">
        <v>-3013.9774551154001</v>
      </c>
      <c r="C43">
        <v>-3013.9129029942501</v>
      </c>
      <c r="D43">
        <v>-3013.8443320891702</v>
      </c>
      <c r="E43" t="s">
        <v>187</v>
      </c>
      <c r="F43" t="s">
        <v>188</v>
      </c>
      <c r="G43" t="s">
        <v>189</v>
      </c>
      <c r="H43" t="str">
        <f t="shared" si="0"/>
        <v>singlet</v>
      </c>
      <c r="I43" t="s">
        <v>190</v>
      </c>
    </row>
    <row r="44" spans="1:9" x14ac:dyDescent="0.25">
      <c r="A44" t="s">
        <v>191</v>
      </c>
      <c r="B44">
        <v>-3825.7650456814699</v>
      </c>
      <c r="C44">
        <v>-3825.7311471614498</v>
      </c>
      <c r="D44">
        <v>-3825.7308781101101</v>
      </c>
      <c r="E44" t="s">
        <v>192</v>
      </c>
      <c r="F44" t="s">
        <v>193</v>
      </c>
      <c r="G44" t="s">
        <v>194</v>
      </c>
      <c r="H44" t="str">
        <f t="shared" si="0"/>
        <v>singlet</v>
      </c>
      <c r="I44" t="s">
        <v>77</v>
      </c>
    </row>
    <row r="45" spans="1:9" x14ac:dyDescent="0.25">
      <c r="A45" t="s">
        <v>195</v>
      </c>
      <c r="D45">
        <v>-13994.1524828899</v>
      </c>
      <c r="E45" t="s">
        <v>196</v>
      </c>
      <c r="F45" t="s">
        <v>197</v>
      </c>
      <c r="G45" t="s">
        <v>198</v>
      </c>
      <c r="H45" t="str">
        <f t="shared" si="0"/>
        <v/>
      </c>
      <c r="I45" t="s">
        <v>91</v>
      </c>
    </row>
    <row r="46" spans="1:9" x14ac:dyDescent="0.25">
      <c r="A46" t="s">
        <v>199</v>
      </c>
      <c r="B46">
        <v>-6180.6455119116599</v>
      </c>
      <c r="C46">
        <v>-6180.59391825073</v>
      </c>
      <c r="D46">
        <v>-6180.5246216549804</v>
      </c>
      <c r="E46" t="s">
        <v>200</v>
      </c>
      <c r="F46" t="s">
        <v>201</v>
      </c>
      <c r="G46" t="s">
        <v>202</v>
      </c>
      <c r="H46" t="str">
        <f t="shared" si="0"/>
        <v>singlet</v>
      </c>
      <c r="I46" t="s">
        <v>19</v>
      </c>
    </row>
    <row r="47" spans="1:9" x14ac:dyDescent="0.25">
      <c r="A47" t="s">
        <v>203</v>
      </c>
      <c r="E47" t="s">
        <v>204</v>
      </c>
      <c r="F47" t="s">
        <v>205</v>
      </c>
      <c r="G47" t="s">
        <v>202</v>
      </c>
      <c r="H47" t="str">
        <f t="shared" si="0"/>
        <v/>
      </c>
      <c r="I47" t="s">
        <v>19</v>
      </c>
    </row>
    <row r="48" spans="1:9" x14ac:dyDescent="0.25">
      <c r="A48" t="s">
        <v>206</v>
      </c>
      <c r="C48">
        <v>-4749.6002945277796</v>
      </c>
      <c r="E48" t="s">
        <v>207</v>
      </c>
      <c r="F48" t="s">
        <v>208</v>
      </c>
      <c r="G48" t="s">
        <v>202</v>
      </c>
      <c r="H48" t="str">
        <f t="shared" si="0"/>
        <v/>
      </c>
      <c r="I48" t="s">
        <v>19</v>
      </c>
    </row>
    <row r="49" spans="1:9" x14ac:dyDescent="0.25">
      <c r="A49" t="s">
        <v>209</v>
      </c>
      <c r="B49">
        <v>-4646.8120766848797</v>
      </c>
      <c r="C49">
        <v>-4646.7494201047202</v>
      </c>
      <c r="D49">
        <v>-4646.6818460217701</v>
      </c>
      <c r="E49" t="s">
        <v>210</v>
      </c>
      <c r="F49" t="s">
        <v>211</v>
      </c>
      <c r="G49" t="s">
        <v>212</v>
      </c>
      <c r="H49" t="str">
        <f t="shared" si="0"/>
        <v>singlet</v>
      </c>
      <c r="I49" t="s">
        <v>213</v>
      </c>
    </row>
    <row r="50" spans="1:9" x14ac:dyDescent="0.25">
      <c r="A50" t="s">
        <v>214</v>
      </c>
      <c r="B50">
        <v>-4162.9589374004299</v>
      </c>
      <c r="C50">
        <v>-4162.9035028556</v>
      </c>
      <c r="D50">
        <v>-4162.83540185525</v>
      </c>
      <c r="E50" t="s">
        <v>215</v>
      </c>
      <c r="F50" t="s">
        <v>216</v>
      </c>
      <c r="G50" t="s">
        <v>217</v>
      </c>
      <c r="H50" t="str">
        <f t="shared" si="0"/>
        <v>singlet</v>
      </c>
      <c r="I50" t="s">
        <v>218</v>
      </c>
    </row>
    <row r="51" spans="1:9" x14ac:dyDescent="0.25">
      <c r="A51" t="s">
        <v>219</v>
      </c>
      <c r="B51">
        <v>-4404.1413462315904</v>
      </c>
      <c r="C51">
        <v>-4404.0850593711402</v>
      </c>
      <c r="D51">
        <v>-4404.0166619089596</v>
      </c>
      <c r="E51" t="s">
        <v>220</v>
      </c>
      <c r="F51" t="s">
        <v>221</v>
      </c>
      <c r="G51" t="s">
        <v>222</v>
      </c>
      <c r="H51" t="str">
        <f t="shared" si="0"/>
        <v>singlet</v>
      </c>
      <c r="I51" t="s">
        <v>223</v>
      </c>
    </row>
    <row r="52" spans="1:9" x14ac:dyDescent="0.25">
      <c r="A52" t="s">
        <v>224</v>
      </c>
      <c r="B52">
        <v>-9115.1849545777895</v>
      </c>
      <c r="C52">
        <v>-9115.1265045992404</v>
      </c>
      <c r="D52">
        <v>-9115.0583033909097</v>
      </c>
      <c r="E52" t="s">
        <v>225</v>
      </c>
      <c r="F52" t="s">
        <v>226</v>
      </c>
      <c r="G52" t="s">
        <v>227</v>
      </c>
      <c r="H52" t="str">
        <f t="shared" si="0"/>
        <v>singlet</v>
      </c>
      <c r="I52" t="s">
        <v>228</v>
      </c>
    </row>
    <row r="53" spans="1:9" x14ac:dyDescent="0.25">
      <c r="A53" t="s">
        <v>229</v>
      </c>
      <c r="B53">
        <v>-3186.9323599343602</v>
      </c>
      <c r="C53">
        <v>-3186.9119998932902</v>
      </c>
      <c r="D53">
        <v>-3186.8429798509901</v>
      </c>
      <c r="E53" t="s">
        <v>230</v>
      </c>
      <c r="F53" t="s">
        <v>231</v>
      </c>
      <c r="G53" t="s">
        <v>232</v>
      </c>
      <c r="H53" t="str">
        <f t="shared" si="0"/>
        <v>singlet</v>
      </c>
      <c r="I53" t="s">
        <v>137</v>
      </c>
    </row>
    <row r="54" spans="1:9" x14ac:dyDescent="0.25">
      <c r="A54" t="s">
        <v>233</v>
      </c>
      <c r="E54" t="s">
        <v>234</v>
      </c>
      <c r="F54" t="s">
        <v>235</v>
      </c>
      <c r="G54" t="s">
        <v>236</v>
      </c>
      <c r="H54" t="str">
        <f t="shared" si="0"/>
        <v/>
      </c>
      <c r="I54" t="s">
        <v>19</v>
      </c>
    </row>
    <row r="55" spans="1:9" x14ac:dyDescent="0.25">
      <c r="A55" t="s">
        <v>237</v>
      </c>
      <c r="B55">
        <v>-4843.9621651306898</v>
      </c>
      <c r="C55">
        <v>-4843.9029117439404</v>
      </c>
      <c r="D55">
        <v>-4843.8348016507698</v>
      </c>
      <c r="E55" t="s">
        <v>238</v>
      </c>
      <c r="F55" t="s">
        <v>239</v>
      </c>
      <c r="G55" t="s">
        <v>240</v>
      </c>
      <c r="H55" t="str">
        <f t="shared" si="0"/>
        <v>singlet</v>
      </c>
      <c r="I55" t="s">
        <v>241</v>
      </c>
    </row>
    <row r="56" spans="1:9" x14ac:dyDescent="0.25">
      <c r="A56" t="s">
        <v>242</v>
      </c>
      <c r="B56">
        <v>-2328.6916834100198</v>
      </c>
      <c r="C56">
        <v>-2328.6364656658502</v>
      </c>
      <c r="D56">
        <v>-2328.56817209061</v>
      </c>
      <c r="E56" t="s">
        <v>243</v>
      </c>
      <c r="F56" t="s">
        <v>244</v>
      </c>
      <c r="G56" t="s">
        <v>245</v>
      </c>
      <c r="H56" t="str">
        <f t="shared" si="0"/>
        <v>singlet</v>
      </c>
      <c r="I56" t="s">
        <v>77</v>
      </c>
    </row>
    <row r="57" spans="1:9" x14ac:dyDescent="0.25">
      <c r="A57" t="s">
        <v>246</v>
      </c>
      <c r="B57">
        <v>-4331.1074177249302</v>
      </c>
      <c r="C57">
        <v>-4331.1271322418697</v>
      </c>
      <c r="D57">
        <v>-4331.0701105620201</v>
      </c>
      <c r="E57" t="s">
        <v>247</v>
      </c>
      <c r="F57" t="s">
        <v>248</v>
      </c>
      <c r="G57" t="s">
        <v>249</v>
      </c>
      <c r="H57" t="str">
        <f t="shared" si="0"/>
        <v>triplet</v>
      </c>
      <c r="I57" t="s">
        <v>77</v>
      </c>
    </row>
    <row r="58" spans="1:9" x14ac:dyDescent="0.25">
      <c r="A58" t="s">
        <v>250</v>
      </c>
      <c r="B58">
        <v>-19061.497939147601</v>
      </c>
      <c r="C58">
        <v>-19061.4778222124</v>
      </c>
      <c r="D58">
        <v>-19061.420165474599</v>
      </c>
      <c r="E58" t="s">
        <v>251</v>
      </c>
      <c r="F58" t="s">
        <v>252</v>
      </c>
      <c r="G58" t="s">
        <v>253</v>
      </c>
      <c r="H58" t="str">
        <f t="shared" si="0"/>
        <v>singlet</v>
      </c>
      <c r="I58" t="s">
        <v>137</v>
      </c>
    </row>
    <row r="59" spans="1:9" x14ac:dyDescent="0.25">
      <c r="A59" t="s">
        <v>254</v>
      </c>
      <c r="B59">
        <v>-3122.88607601378</v>
      </c>
      <c r="D59">
        <v>-3122.7991296192399</v>
      </c>
      <c r="E59" t="s">
        <v>255</v>
      </c>
      <c r="F59" t="s">
        <v>256</v>
      </c>
      <c r="G59" t="s">
        <v>257</v>
      </c>
      <c r="H59" t="str">
        <f t="shared" si="0"/>
        <v/>
      </c>
      <c r="I59" t="s">
        <v>228</v>
      </c>
    </row>
    <row r="60" spans="1:9" x14ac:dyDescent="0.25">
      <c r="A60" t="s">
        <v>258</v>
      </c>
      <c r="B60">
        <v>-4537.0687281149503</v>
      </c>
      <c r="C60">
        <v>-4537.0043626755296</v>
      </c>
      <c r="D60">
        <v>-4536.9792173547103</v>
      </c>
      <c r="E60" t="s">
        <v>259</v>
      </c>
      <c r="F60" t="s">
        <v>260</v>
      </c>
      <c r="G60" t="s">
        <v>261</v>
      </c>
      <c r="H60" t="str">
        <f t="shared" si="0"/>
        <v>singlet</v>
      </c>
      <c r="I60" t="s">
        <v>262</v>
      </c>
    </row>
    <row r="61" spans="1:9" x14ac:dyDescent="0.25">
      <c r="A61" t="s">
        <v>263</v>
      </c>
      <c r="B61">
        <v>-2996.69571168942</v>
      </c>
      <c r="C61">
        <v>-2996.6274874523001</v>
      </c>
      <c r="D61">
        <v>-2996.5593865552701</v>
      </c>
      <c r="E61" t="s">
        <v>264</v>
      </c>
      <c r="F61" t="s">
        <v>265</v>
      </c>
      <c r="G61" t="s">
        <v>266</v>
      </c>
      <c r="H61" t="str">
        <f t="shared" si="0"/>
        <v>singlet</v>
      </c>
      <c r="I61" t="s">
        <v>170</v>
      </c>
    </row>
    <row r="62" spans="1:9" x14ac:dyDescent="0.25">
      <c r="A62" t="s">
        <v>267</v>
      </c>
      <c r="B62">
        <v>-3679.0921782811602</v>
      </c>
      <c r="C62">
        <v>-3679.0337400134199</v>
      </c>
      <c r="D62">
        <v>-3679.0117774186101</v>
      </c>
      <c r="E62" t="s">
        <v>268</v>
      </c>
      <c r="F62" t="s">
        <v>269</v>
      </c>
      <c r="G62" t="s">
        <v>270</v>
      </c>
      <c r="H62" t="str">
        <f t="shared" si="0"/>
        <v>singlet</v>
      </c>
      <c r="I62" t="s">
        <v>271</v>
      </c>
    </row>
    <row r="63" spans="1:9" x14ac:dyDescent="0.25">
      <c r="A63" t="s">
        <v>272</v>
      </c>
      <c r="B63">
        <v>-4167.1440241751297</v>
      </c>
      <c r="C63">
        <v>-4167.0851102244396</v>
      </c>
      <c r="D63">
        <v>-4167.0169405389297</v>
      </c>
      <c r="E63" t="s">
        <v>273</v>
      </c>
      <c r="F63" t="s">
        <v>274</v>
      </c>
      <c r="G63" t="s">
        <v>275</v>
      </c>
      <c r="H63" t="str">
        <f t="shared" si="0"/>
        <v>singlet</v>
      </c>
      <c r="I63" t="s">
        <v>276</v>
      </c>
    </row>
    <row r="64" spans="1:9" x14ac:dyDescent="0.25">
      <c r="A64" t="s">
        <v>277</v>
      </c>
      <c r="B64">
        <v>-4463.73851177916</v>
      </c>
      <c r="C64">
        <v>-4463.6813033119997</v>
      </c>
      <c r="D64">
        <v>-4463.61199210007</v>
      </c>
      <c r="E64" t="s">
        <v>278</v>
      </c>
      <c r="F64" t="s">
        <v>279</v>
      </c>
      <c r="G64" t="s">
        <v>280</v>
      </c>
      <c r="H64" t="str">
        <f t="shared" si="0"/>
        <v>singlet</v>
      </c>
      <c r="I64" t="s">
        <v>281</v>
      </c>
    </row>
    <row r="65" spans="1:10" x14ac:dyDescent="0.25">
      <c r="A65" t="s">
        <v>282</v>
      </c>
      <c r="B65">
        <v>-3338.53227876439</v>
      </c>
      <c r="C65">
        <v>-3338.4899352888701</v>
      </c>
      <c r="D65">
        <v>-3338.41882059512</v>
      </c>
      <c r="E65" t="s">
        <v>283</v>
      </c>
      <c r="F65" t="s">
        <v>284</v>
      </c>
      <c r="G65" t="s">
        <v>285</v>
      </c>
      <c r="H65" t="str">
        <f t="shared" si="0"/>
        <v>singlet</v>
      </c>
      <c r="I65" t="s">
        <v>286</v>
      </c>
      <c r="J65" t="s">
        <v>1630</v>
      </c>
    </row>
    <row r="66" spans="1:10" x14ac:dyDescent="0.25">
      <c r="A66" t="s">
        <v>287</v>
      </c>
      <c r="B66">
        <v>-2170.0197895732899</v>
      </c>
      <c r="C66">
        <v>-2169.9498513800499</v>
      </c>
      <c r="D66">
        <v>-2169.8829829524798</v>
      </c>
      <c r="E66" t="s">
        <v>288</v>
      </c>
      <c r="F66" t="s">
        <v>289</v>
      </c>
      <c r="G66" t="s">
        <v>285</v>
      </c>
      <c r="H66" t="str">
        <f t="shared" ref="H66:H129" si="1">IF(OR(B66="", C66="", D66=""), "", INDEX($B$1:$D$1,MATCH(MIN(B66:D66),B66:D66,0)))</f>
        <v>singlet</v>
      </c>
      <c r="I66" t="s">
        <v>286</v>
      </c>
      <c r="J66" t="s">
        <v>1618</v>
      </c>
    </row>
    <row r="67" spans="1:10" x14ac:dyDescent="0.25">
      <c r="A67" t="s">
        <v>290</v>
      </c>
      <c r="B67">
        <v>-2170.0198064465999</v>
      </c>
      <c r="C67">
        <v>-2169.9498653446899</v>
      </c>
      <c r="D67">
        <v>-2169.8830025183302</v>
      </c>
      <c r="E67" t="s">
        <v>291</v>
      </c>
      <c r="F67" t="s">
        <v>292</v>
      </c>
      <c r="G67" t="s">
        <v>285</v>
      </c>
      <c r="H67" t="str">
        <f t="shared" si="1"/>
        <v>singlet</v>
      </c>
      <c r="I67" t="s">
        <v>286</v>
      </c>
      <c r="J67" t="s">
        <v>1618</v>
      </c>
    </row>
    <row r="68" spans="1:10" x14ac:dyDescent="0.25">
      <c r="A68" t="s">
        <v>293</v>
      </c>
      <c r="B68">
        <v>-9362.8458298672995</v>
      </c>
      <c r="C68">
        <v>-9362.8190347886994</v>
      </c>
      <c r="D68">
        <v>-9362.8010069667798</v>
      </c>
      <c r="E68" t="s">
        <v>294</v>
      </c>
      <c r="F68" t="s">
        <v>295</v>
      </c>
      <c r="G68" t="s">
        <v>296</v>
      </c>
      <c r="H68" t="str">
        <f t="shared" si="1"/>
        <v>singlet</v>
      </c>
      <c r="I68" t="s">
        <v>77</v>
      </c>
    </row>
    <row r="69" spans="1:10" x14ac:dyDescent="0.25">
      <c r="A69" t="s">
        <v>297</v>
      </c>
      <c r="B69">
        <v>-3881.4987694276601</v>
      </c>
      <c r="C69">
        <v>-3881.4391363504101</v>
      </c>
      <c r="D69">
        <v>-3881.3709610716801</v>
      </c>
      <c r="E69" t="s">
        <v>298</v>
      </c>
      <c r="F69" t="s">
        <v>299</v>
      </c>
      <c r="G69" t="s">
        <v>300</v>
      </c>
      <c r="H69" t="str">
        <f t="shared" si="1"/>
        <v>singlet</v>
      </c>
      <c r="I69" t="s">
        <v>137</v>
      </c>
    </row>
    <row r="70" spans="1:10" x14ac:dyDescent="0.25">
      <c r="A70" t="s">
        <v>301</v>
      </c>
      <c r="B70">
        <v>-4007.9267999869098</v>
      </c>
      <c r="C70">
        <v>-4007.86729509614</v>
      </c>
      <c r="D70">
        <v>-4007.7987307480798</v>
      </c>
      <c r="E70" t="s">
        <v>302</v>
      </c>
      <c r="F70" t="s">
        <v>303</v>
      </c>
      <c r="G70" t="s">
        <v>300</v>
      </c>
      <c r="H70" t="str">
        <f t="shared" si="1"/>
        <v>singlet</v>
      </c>
      <c r="I70" t="s">
        <v>137</v>
      </c>
    </row>
    <row r="71" spans="1:10" x14ac:dyDescent="0.25">
      <c r="A71" t="s">
        <v>304</v>
      </c>
      <c r="B71">
        <v>-4055.0609874005299</v>
      </c>
      <c r="C71">
        <v>-4055.0374676225001</v>
      </c>
      <c r="D71">
        <v>-4054.96830356704</v>
      </c>
      <c r="E71" t="s">
        <v>305</v>
      </c>
      <c r="F71" t="s">
        <v>306</v>
      </c>
      <c r="G71" t="s">
        <v>307</v>
      </c>
      <c r="H71" t="str">
        <f t="shared" si="1"/>
        <v>singlet</v>
      </c>
      <c r="I71" t="s">
        <v>58</v>
      </c>
    </row>
    <row r="72" spans="1:10" x14ac:dyDescent="0.25">
      <c r="A72" t="s">
        <v>308</v>
      </c>
      <c r="B72">
        <v>-4468.8060492875902</v>
      </c>
      <c r="C72">
        <v>-4468.7466096102298</v>
      </c>
      <c r="D72">
        <v>-4468.6783170652998</v>
      </c>
      <c r="E72" t="s">
        <v>309</v>
      </c>
      <c r="F72" t="s">
        <v>310</v>
      </c>
      <c r="G72" t="s">
        <v>311</v>
      </c>
      <c r="H72" t="str">
        <f t="shared" si="1"/>
        <v>singlet</v>
      </c>
      <c r="I72" t="s">
        <v>137</v>
      </c>
    </row>
    <row r="73" spans="1:10" x14ac:dyDescent="0.25">
      <c r="A73" t="s">
        <v>312</v>
      </c>
      <c r="B73">
        <v>-3269.3216781309702</v>
      </c>
      <c r="C73">
        <v>-3269.27162528494</v>
      </c>
      <c r="D73">
        <v>-3269.2250602681702</v>
      </c>
      <c r="E73" t="s">
        <v>313</v>
      </c>
      <c r="F73" t="s">
        <v>314</v>
      </c>
      <c r="G73" t="s">
        <v>315</v>
      </c>
      <c r="H73" t="str">
        <f t="shared" si="1"/>
        <v>singlet</v>
      </c>
      <c r="I73" t="s">
        <v>108</v>
      </c>
    </row>
    <row r="74" spans="1:10" x14ac:dyDescent="0.25">
      <c r="A74" t="s">
        <v>316</v>
      </c>
      <c r="B74">
        <v>-2770.38037098328</v>
      </c>
      <c r="C74">
        <v>-2770.31800481645</v>
      </c>
      <c r="D74">
        <v>-2770.2675204219399</v>
      </c>
      <c r="E74" t="s">
        <v>317</v>
      </c>
      <c r="F74" t="s">
        <v>318</v>
      </c>
      <c r="G74" t="s">
        <v>315</v>
      </c>
      <c r="H74" t="str">
        <f t="shared" si="1"/>
        <v>singlet</v>
      </c>
      <c r="I74" t="s">
        <v>108</v>
      </c>
    </row>
    <row r="75" spans="1:10" x14ac:dyDescent="0.25">
      <c r="A75" t="s">
        <v>319</v>
      </c>
      <c r="B75">
        <v>-2669.9304301248499</v>
      </c>
      <c r="C75">
        <v>-2669.8680032195098</v>
      </c>
      <c r="D75">
        <v>-2669.81612373075</v>
      </c>
      <c r="E75" t="s">
        <v>320</v>
      </c>
      <c r="F75" t="s">
        <v>321</v>
      </c>
      <c r="G75" t="s">
        <v>315</v>
      </c>
      <c r="H75" t="str">
        <f t="shared" si="1"/>
        <v>singlet</v>
      </c>
      <c r="I75" t="s">
        <v>108</v>
      </c>
    </row>
    <row r="76" spans="1:10" x14ac:dyDescent="0.25">
      <c r="A76" t="s">
        <v>322</v>
      </c>
      <c r="E76" t="s">
        <v>323</v>
      </c>
      <c r="F76" t="s">
        <v>324</v>
      </c>
      <c r="G76" t="s">
        <v>325</v>
      </c>
      <c r="H76" t="str">
        <f t="shared" si="1"/>
        <v/>
      </c>
      <c r="I76" t="s">
        <v>326</v>
      </c>
    </row>
    <row r="77" spans="1:10" x14ac:dyDescent="0.25">
      <c r="A77" t="s">
        <v>327</v>
      </c>
      <c r="B77">
        <v>-6501.8934125087198</v>
      </c>
      <c r="C77">
        <v>-6501.9084901603201</v>
      </c>
      <c r="D77">
        <v>-6501.93820501132</v>
      </c>
      <c r="E77" t="s">
        <v>328</v>
      </c>
      <c r="F77" t="s">
        <v>329</v>
      </c>
      <c r="G77" t="s">
        <v>325</v>
      </c>
      <c r="H77" t="str">
        <f t="shared" si="1"/>
        <v>quintet</v>
      </c>
      <c r="I77" t="s">
        <v>326</v>
      </c>
    </row>
    <row r="78" spans="1:10" x14ac:dyDescent="0.25">
      <c r="A78" t="s">
        <v>330</v>
      </c>
      <c r="E78" t="s">
        <v>331</v>
      </c>
      <c r="F78" t="s">
        <v>332</v>
      </c>
      <c r="G78" t="s">
        <v>333</v>
      </c>
      <c r="H78" t="str">
        <f t="shared" si="1"/>
        <v/>
      </c>
      <c r="I78" t="s">
        <v>334</v>
      </c>
    </row>
    <row r="79" spans="1:10" x14ac:dyDescent="0.25">
      <c r="A79" t="s">
        <v>335</v>
      </c>
      <c r="B79">
        <v>-26273.200961621002</v>
      </c>
      <c r="C79">
        <v>-26273.174242854901</v>
      </c>
      <c r="D79">
        <v>-26273.155742200201</v>
      </c>
      <c r="E79" t="s">
        <v>336</v>
      </c>
      <c r="F79" t="s">
        <v>337</v>
      </c>
      <c r="G79" t="s">
        <v>338</v>
      </c>
      <c r="H79" t="str">
        <f t="shared" si="1"/>
        <v>singlet</v>
      </c>
      <c r="I79" t="s">
        <v>77</v>
      </c>
    </row>
    <row r="80" spans="1:10" x14ac:dyDescent="0.25">
      <c r="A80" t="s">
        <v>339</v>
      </c>
      <c r="B80">
        <v>-26351.691477554199</v>
      </c>
      <c r="C80">
        <v>-26351.665764703899</v>
      </c>
      <c r="D80">
        <v>-26351.647548264598</v>
      </c>
      <c r="E80" t="s">
        <v>340</v>
      </c>
      <c r="F80" t="s">
        <v>341</v>
      </c>
      <c r="G80" t="s">
        <v>338</v>
      </c>
      <c r="H80" t="str">
        <f t="shared" si="1"/>
        <v>singlet</v>
      </c>
      <c r="I80" t="s">
        <v>77</v>
      </c>
    </row>
    <row r="81" spans="1:9" x14ac:dyDescent="0.25">
      <c r="A81" t="s">
        <v>342</v>
      </c>
      <c r="B81">
        <v>-2525.9887280763901</v>
      </c>
      <c r="C81">
        <v>-2525.9188361196798</v>
      </c>
      <c r="D81">
        <v>-2525.8460128650599</v>
      </c>
      <c r="E81" t="s">
        <v>343</v>
      </c>
      <c r="F81" t="s">
        <v>344</v>
      </c>
      <c r="G81" t="s">
        <v>345</v>
      </c>
      <c r="H81" t="str">
        <f t="shared" si="1"/>
        <v>singlet</v>
      </c>
      <c r="I81" t="s">
        <v>346</v>
      </c>
    </row>
    <row r="82" spans="1:9" x14ac:dyDescent="0.25">
      <c r="A82" t="s">
        <v>347</v>
      </c>
      <c r="B82">
        <v>-2486.7404132879701</v>
      </c>
      <c r="C82">
        <v>-2486.6706337407099</v>
      </c>
      <c r="D82">
        <v>-2486.59744931247</v>
      </c>
      <c r="E82" t="s">
        <v>348</v>
      </c>
      <c r="F82" t="s">
        <v>349</v>
      </c>
      <c r="G82" t="s">
        <v>345</v>
      </c>
      <c r="H82" t="str">
        <f t="shared" si="1"/>
        <v>singlet</v>
      </c>
      <c r="I82" t="s">
        <v>346</v>
      </c>
    </row>
    <row r="83" spans="1:9" x14ac:dyDescent="0.25">
      <c r="A83" t="s">
        <v>350</v>
      </c>
      <c r="B83">
        <v>-2539.6381088828598</v>
      </c>
      <c r="C83">
        <v>-2539.5673470076699</v>
      </c>
      <c r="D83">
        <v>-2539.4838243855202</v>
      </c>
      <c r="E83" t="s">
        <v>351</v>
      </c>
      <c r="F83" t="s">
        <v>352</v>
      </c>
      <c r="G83" t="s">
        <v>345</v>
      </c>
      <c r="H83" t="str">
        <f t="shared" si="1"/>
        <v>singlet</v>
      </c>
      <c r="I83" t="s">
        <v>346</v>
      </c>
    </row>
    <row r="84" spans="1:9" x14ac:dyDescent="0.25">
      <c r="A84" t="s">
        <v>353</v>
      </c>
      <c r="B84">
        <v>-3536.4498413931501</v>
      </c>
      <c r="C84">
        <v>-3536.38472686554</v>
      </c>
      <c r="D84">
        <v>-3536.3166041489699</v>
      </c>
      <c r="E84" t="s">
        <v>354</v>
      </c>
      <c r="F84" t="s">
        <v>355</v>
      </c>
      <c r="G84" t="s">
        <v>356</v>
      </c>
      <c r="H84" t="str">
        <f t="shared" si="1"/>
        <v>singlet</v>
      </c>
      <c r="I84" t="s">
        <v>108</v>
      </c>
    </row>
    <row r="85" spans="1:9" x14ac:dyDescent="0.25">
      <c r="A85" t="s">
        <v>357</v>
      </c>
      <c r="B85">
        <v>-2037.6734083920401</v>
      </c>
      <c r="C85">
        <v>-2037.6090854223601</v>
      </c>
      <c r="D85">
        <v>-2037.537757932</v>
      </c>
      <c r="E85" t="s">
        <v>358</v>
      </c>
      <c r="F85" t="s">
        <v>359</v>
      </c>
      <c r="G85" t="s">
        <v>360</v>
      </c>
      <c r="H85" t="str">
        <f t="shared" si="1"/>
        <v>singlet</v>
      </c>
      <c r="I85" t="s">
        <v>228</v>
      </c>
    </row>
    <row r="86" spans="1:9" x14ac:dyDescent="0.25">
      <c r="A86" t="s">
        <v>361</v>
      </c>
      <c r="B86">
        <v>-3677.3132469880002</v>
      </c>
      <c r="C86">
        <v>-3677.32828813471</v>
      </c>
      <c r="D86">
        <v>-3677.3578245030399</v>
      </c>
      <c r="E86" t="s">
        <v>362</v>
      </c>
      <c r="F86" t="s">
        <v>363</v>
      </c>
      <c r="G86" t="s">
        <v>364</v>
      </c>
      <c r="H86" t="str">
        <f t="shared" si="1"/>
        <v>quintet</v>
      </c>
      <c r="I86" t="s">
        <v>228</v>
      </c>
    </row>
    <row r="87" spans="1:9" x14ac:dyDescent="0.25">
      <c r="A87" t="s">
        <v>365</v>
      </c>
      <c r="B87">
        <v>-3504.5821452002301</v>
      </c>
      <c r="C87">
        <v>-3504.55277647205</v>
      </c>
      <c r="D87">
        <v>-3504.4845416555299</v>
      </c>
      <c r="E87" t="s">
        <v>366</v>
      </c>
      <c r="F87" t="s">
        <v>367</v>
      </c>
      <c r="G87" t="s">
        <v>368</v>
      </c>
      <c r="H87" t="str">
        <f t="shared" si="1"/>
        <v>singlet</v>
      </c>
      <c r="I87" t="s">
        <v>286</v>
      </c>
    </row>
    <row r="88" spans="1:9" x14ac:dyDescent="0.25">
      <c r="A88" t="s">
        <v>369</v>
      </c>
      <c r="B88">
        <v>-3551.3795410197799</v>
      </c>
      <c r="C88">
        <v>-3551.3389093995102</v>
      </c>
      <c r="D88">
        <v>-3551.2786609416698</v>
      </c>
      <c r="E88" t="s">
        <v>370</v>
      </c>
      <c r="F88" t="s">
        <v>371</v>
      </c>
      <c r="G88" t="s">
        <v>372</v>
      </c>
      <c r="H88" t="str">
        <f t="shared" si="1"/>
        <v>singlet</v>
      </c>
      <c r="I88" t="s">
        <v>286</v>
      </c>
    </row>
    <row r="89" spans="1:9" x14ac:dyDescent="0.25">
      <c r="A89" t="s">
        <v>373</v>
      </c>
      <c r="B89">
        <v>-2382.8480442204</v>
      </c>
      <c r="C89">
        <v>-2382.7826243559998</v>
      </c>
      <c r="D89">
        <v>-2382.7087172410102</v>
      </c>
      <c r="E89" t="s">
        <v>374</v>
      </c>
      <c r="F89" t="s">
        <v>375</v>
      </c>
      <c r="G89" t="s">
        <v>372</v>
      </c>
      <c r="H89" t="str">
        <f t="shared" si="1"/>
        <v>singlet</v>
      </c>
      <c r="I89" t="s">
        <v>286</v>
      </c>
    </row>
    <row r="90" spans="1:9" x14ac:dyDescent="0.25">
      <c r="A90" t="s">
        <v>376</v>
      </c>
      <c r="B90">
        <v>-2378.65206140487</v>
      </c>
      <c r="C90">
        <v>-2378.5841485298201</v>
      </c>
      <c r="D90">
        <v>-2378.5195827945599</v>
      </c>
      <c r="E90" t="s">
        <v>377</v>
      </c>
      <c r="F90" t="s">
        <v>378</v>
      </c>
      <c r="G90" t="s">
        <v>372</v>
      </c>
      <c r="H90" t="str">
        <f t="shared" si="1"/>
        <v>singlet</v>
      </c>
      <c r="I90" t="s">
        <v>286</v>
      </c>
    </row>
    <row r="91" spans="1:9" x14ac:dyDescent="0.25">
      <c r="A91" t="s">
        <v>379</v>
      </c>
      <c r="B91">
        <v>-3828.6294470749699</v>
      </c>
      <c r="C91">
        <v>-3828.5820885892699</v>
      </c>
      <c r="D91">
        <v>-3828.5080512264199</v>
      </c>
      <c r="E91" t="s">
        <v>380</v>
      </c>
      <c r="F91" t="s">
        <v>381</v>
      </c>
      <c r="G91" t="s">
        <v>382</v>
      </c>
      <c r="H91" t="str">
        <f t="shared" si="1"/>
        <v>singlet</v>
      </c>
      <c r="I91" t="s">
        <v>127</v>
      </c>
    </row>
    <row r="92" spans="1:9" x14ac:dyDescent="0.25">
      <c r="A92" t="s">
        <v>383</v>
      </c>
      <c r="B92">
        <v>-3220.4852950125</v>
      </c>
      <c r="C92">
        <v>-3220.4153836957598</v>
      </c>
      <c r="D92">
        <v>-3220.3184308110699</v>
      </c>
      <c r="E92" t="s">
        <v>384</v>
      </c>
      <c r="F92" t="s">
        <v>385</v>
      </c>
      <c r="G92" t="s">
        <v>386</v>
      </c>
      <c r="H92" t="str">
        <f t="shared" si="1"/>
        <v>singlet</v>
      </c>
      <c r="I92" t="s">
        <v>387</v>
      </c>
    </row>
    <row r="93" spans="1:9" x14ac:dyDescent="0.25">
      <c r="A93" t="s">
        <v>388</v>
      </c>
      <c r="B93">
        <v>-2965.9215056879898</v>
      </c>
      <c r="C93">
        <v>-2965.8974453078199</v>
      </c>
      <c r="D93">
        <v>-2965.8331572485399</v>
      </c>
      <c r="E93" t="s">
        <v>389</v>
      </c>
      <c r="F93" t="s">
        <v>390</v>
      </c>
      <c r="G93" t="s">
        <v>391</v>
      </c>
      <c r="H93" t="str">
        <f t="shared" si="1"/>
        <v>singlet</v>
      </c>
      <c r="I93" t="s">
        <v>58</v>
      </c>
    </row>
    <row r="94" spans="1:9" x14ac:dyDescent="0.25">
      <c r="A94" t="s">
        <v>392</v>
      </c>
      <c r="E94" t="s">
        <v>393</v>
      </c>
      <c r="F94" t="s">
        <v>394</v>
      </c>
      <c r="G94" t="s">
        <v>395</v>
      </c>
      <c r="H94" t="str">
        <f t="shared" si="1"/>
        <v/>
      </c>
      <c r="I94" t="s">
        <v>72</v>
      </c>
    </row>
    <row r="95" spans="1:9" x14ac:dyDescent="0.25">
      <c r="A95" t="s">
        <v>396</v>
      </c>
      <c r="B95">
        <v>-2755.8408276018199</v>
      </c>
      <c r="C95">
        <v>-2755.7694014674598</v>
      </c>
      <c r="D95">
        <v>-2755.6991941480601</v>
      </c>
      <c r="E95" t="s">
        <v>397</v>
      </c>
      <c r="F95" t="s">
        <v>398</v>
      </c>
      <c r="G95" t="s">
        <v>399</v>
      </c>
      <c r="H95" t="str">
        <f t="shared" si="1"/>
        <v>singlet</v>
      </c>
      <c r="I95" t="s">
        <v>108</v>
      </c>
    </row>
    <row r="96" spans="1:9" x14ac:dyDescent="0.25">
      <c r="A96" t="s">
        <v>400</v>
      </c>
      <c r="B96">
        <v>-2747.3163415712702</v>
      </c>
      <c r="C96">
        <v>-2747.2426072518501</v>
      </c>
      <c r="D96">
        <v>-2747.1691241173298</v>
      </c>
      <c r="E96" t="s">
        <v>401</v>
      </c>
      <c r="F96" t="s">
        <v>402</v>
      </c>
      <c r="G96" t="s">
        <v>399</v>
      </c>
      <c r="H96" t="str">
        <f t="shared" si="1"/>
        <v>singlet</v>
      </c>
      <c r="I96" t="s">
        <v>108</v>
      </c>
    </row>
    <row r="97" spans="1:9" x14ac:dyDescent="0.25">
      <c r="A97" t="s">
        <v>403</v>
      </c>
      <c r="B97">
        <v>-2379.02460200732</v>
      </c>
      <c r="C97">
        <v>-2378.9535840695598</v>
      </c>
      <c r="D97">
        <v>-2378.8831066575799</v>
      </c>
      <c r="E97" t="s">
        <v>404</v>
      </c>
      <c r="F97" t="s">
        <v>405</v>
      </c>
      <c r="G97" t="s">
        <v>399</v>
      </c>
      <c r="H97" t="str">
        <f t="shared" si="1"/>
        <v>singlet</v>
      </c>
      <c r="I97" t="s">
        <v>108</v>
      </c>
    </row>
    <row r="98" spans="1:9" x14ac:dyDescent="0.25">
      <c r="A98" t="s">
        <v>406</v>
      </c>
      <c r="B98">
        <v>-3225.69641250823</v>
      </c>
      <c r="C98">
        <v>-3225.7113785106098</v>
      </c>
      <c r="D98">
        <v>-3225.7409404003802</v>
      </c>
      <c r="E98" t="s">
        <v>407</v>
      </c>
      <c r="F98" t="s">
        <v>408</v>
      </c>
      <c r="G98" t="s">
        <v>409</v>
      </c>
      <c r="H98" t="str">
        <f t="shared" si="1"/>
        <v>quintet</v>
      </c>
      <c r="I98" t="s">
        <v>137</v>
      </c>
    </row>
    <row r="99" spans="1:9" x14ac:dyDescent="0.25">
      <c r="A99" t="s">
        <v>410</v>
      </c>
      <c r="B99">
        <v>-3718.7179551330701</v>
      </c>
      <c r="C99">
        <v>-3718.67994258407</v>
      </c>
      <c r="D99">
        <v>-3718.6127561992498</v>
      </c>
      <c r="E99" t="s">
        <v>411</v>
      </c>
      <c r="F99" t="s">
        <v>412</v>
      </c>
      <c r="G99" t="s">
        <v>413</v>
      </c>
      <c r="H99" t="str">
        <f t="shared" si="1"/>
        <v>singlet</v>
      </c>
      <c r="I99" t="s">
        <v>414</v>
      </c>
    </row>
    <row r="100" spans="1:9" x14ac:dyDescent="0.25">
      <c r="A100" t="s">
        <v>415</v>
      </c>
      <c r="B100">
        <v>-3371.63674300705</v>
      </c>
      <c r="C100">
        <v>-3371.5803454052598</v>
      </c>
      <c r="D100">
        <v>-3371.5123158912702</v>
      </c>
      <c r="E100" t="s">
        <v>416</v>
      </c>
      <c r="F100" t="s">
        <v>417</v>
      </c>
      <c r="G100" t="s">
        <v>418</v>
      </c>
      <c r="H100" t="str">
        <f t="shared" si="1"/>
        <v>singlet</v>
      </c>
      <c r="I100" t="s">
        <v>77</v>
      </c>
    </row>
    <row r="101" spans="1:9" x14ac:dyDescent="0.25">
      <c r="A101" t="s">
        <v>419</v>
      </c>
      <c r="B101">
        <v>-2048.76948300617</v>
      </c>
      <c r="C101">
        <v>-2048.6958831586799</v>
      </c>
      <c r="D101">
        <v>-2048.6198046309701</v>
      </c>
      <c r="E101" t="s">
        <v>420</v>
      </c>
      <c r="F101" t="s">
        <v>421</v>
      </c>
      <c r="G101" t="s">
        <v>422</v>
      </c>
      <c r="H101" t="str">
        <f t="shared" si="1"/>
        <v>singlet</v>
      </c>
      <c r="I101" t="s">
        <v>161</v>
      </c>
    </row>
    <row r="102" spans="1:9" x14ac:dyDescent="0.25">
      <c r="A102" t="s">
        <v>423</v>
      </c>
      <c r="B102">
        <v>-3228.1392907560298</v>
      </c>
      <c r="C102">
        <v>-3228.1995022773599</v>
      </c>
      <c r="D102">
        <v>-3228.2224380180501</v>
      </c>
      <c r="E102" t="s">
        <v>424</v>
      </c>
      <c r="F102" t="s">
        <v>425</v>
      </c>
      <c r="G102" t="s">
        <v>426</v>
      </c>
      <c r="H102" t="str">
        <f t="shared" si="1"/>
        <v>quintet</v>
      </c>
      <c r="I102" t="s">
        <v>427</v>
      </c>
    </row>
    <row r="103" spans="1:9" x14ac:dyDescent="0.25">
      <c r="A103" t="s">
        <v>428</v>
      </c>
      <c r="B103">
        <v>-3357.9975622683501</v>
      </c>
      <c r="C103">
        <v>-3358.0135257045299</v>
      </c>
      <c r="D103">
        <v>-3358.0434677920698</v>
      </c>
      <c r="E103" t="s">
        <v>429</v>
      </c>
      <c r="F103" t="s">
        <v>430</v>
      </c>
      <c r="G103" t="s">
        <v>426</v>
      </c>
      <c r="H103" t="str">
        <f t="shared" si="1"/>
        <v>quintet</v>
      </c>
      <c r="I103" t="s">
        <v>427</v>
      </c>
    </row>
    <row r="104" spans="1:9" x14ac:dyDescent="0.25">
      <c r="A104" t="s">
        <v>431</v>
      </c>
      <c r="B104">
        <v>-3288.5030516480601</v>
      </c>
      <c r="C104">
        <v>-3288.5188883061001</v>
      </c>
      <c r="D104">
        <v>-3288.4503723972002</v>
      </c>
      <c r="E104" t="s">
        <v>432</v>
      </c>
      <c r="F104" t="s">
        <v>433</v>
      </c>
      <c r="G104" t="s">
        <v>426</v>
      </c>
      <c r="H104" t="str">
        <f t="shared" si="1"/>
        <v>triplet</v>
      </c>
      <c r="I104" t="s">
        <v>427</v>
      </c>
    </row>
    <row r="105" spans="1:9" x14ac:dyDescent="0.25">
      <c r="A105" t="s">
        <v>434</v>
      </c>
      <c r="B105">
        <v>-3551.0678677113401</v>
      </c>
      <c r="C105">
        <v>-3551.0826504168299</v>
      </c>
      <c r="D105">
        <v>-3551.1083610998098</v>
      </c>
      <c r="E105" t="s">
        <v>435</v>
      </c>
      <c r="F105" t="s">
        <v>436</v>
      </c>
      <c r="G105" t="s">
        <v>426</v>
      </c>
      <c r="H105" t="str">
        <f t="shared" si="1"/>
        <v>quintet</v>
      </c>
      <c r="I105" t="s">
        <v>427</v>
      </c>
    </row>
    <row r="106" spans="1:9" x14ac:dyDescent="0.25">
      <c r="A106" t="s">
        <v>437</v>
      </c>
      <c r="B106">
        <v>-2961.59950203689</v>
      </c>
      <c r="C106">
        <v>-2961.5136149861601</v>
      </c>
      <c r="D106">
        <v>-2961.4436162626698</v>
      </c>
      <c r="E106" t="s">
        <v>438</v>
      </c>
      <c r="F106" t="s">
        <v>439</v>
      </c>
      <c r="G106" t="s">
        <v>440</v>
      </c>
      <c r="H106" t="str">
        <f t="shared" si="1"/>
        <v>singlet</v>
      </c>
      <c r="I106" t="s">
        <v>72</v>
      </c>
    </row>
    <row r="107" spans="1:9" x14ac:dyDescent="0.25">
      <c r="A107" t="s">
        <v>441</v>
      </c>
      <c r="B107">
        <v>-3438.1548666545</v>
      </c>
      <c r="C107">
        <v>-3438.1706037184899</v>
      </c>
      <c r="D107">
        <v>-3438.1670602232698</v>
      </c>
      <c r="E107" t="s">
        <v>442</v>
      </c>
      <c r="F107" t="s">
        <v>443</v>
      </c>
      <c r="G107" t="s">
        <v>444</v>
      </c>
      <c r="H107" t="str">
        <f t="shared" si="1"/>
        <v>triplet</v>
      </c>
      <c r="I107" t="s">
        <v>286</v>
      </c>
    </row>
    <row r="108" spans="1:9" x14ac:dyDescent="0.25">
      <c r="A108" t="s">
        <v>445</v>
      </c>
      <c r="B108">
        <v>-3438.1548588921701</v>
      </c>
      <c r="C108">
        <v>-3438.1705872960201</v>
      </c>
      <c r="D108">
        <v>-3438.16701669022</v>
      </c>
      <c r="E108" t="s">
        <v>446</v>
      </c>
      <c r="F108" t="s">
        <v>447</v>
      </c>
      <c r="G108" t="s">
        <v>444</v>
      </c>
      <c r="H108" t="str">
        <f t="shared" si="1"/>
        <v>triplet</v>
      </c>
      <c r="I108" t="s">
        <v>286</v>
      </c>
    </row>
    <row r="109" spans="1:9" x14ac:dyDescent="0.25">
      <c r="A109" t="s">
        <v>448</v>
      </c>
      <c r="B109">
        <v>-3957.9127658498701</v>
      </c>
      <c r="C109">
        <v>-3957.8559873925101</v>
      </c>
      <c r="D109">
        <v>-3957.83492269933</v>
      </c>
      <c r="E109" t="s">
        <v>449</v>
      </c>
      <c r="F109" t="s">
        <v>450</v>
      </c>
      <c r="G109" t="s">
        <v>451</v>
      </c>
      <c r="H109" t="str">
        <f t="shared" si="1"/>
        <v>singlet</v>
      </c>
      <c r="I109" t="s">
        <v>91</v>
      </c>
    </row>
    <row r="110" spans="1:9" x14ac:dyDescent="0.25">
      <c r="A110" t="s">
        <v>452</v>
      </c>
      <c r="B110">
        <v>-2525.9678913754301</v>
      </c>
      <c r="C110">
        <v>-2525.8975335305199</v>
      </c>
      <c r="D110">
        <v>-2525.8245617228899</v>
      </c>
      <c r="E110" t="s">
        <v>453</v>
      </c>
      <c r="F110" t="s">
        <v>454</v>
      </c>
      <c r="G110" t="s">
        <v>455</v>
      </c>
      <c r="H110" t="str">
        <f t="shared" si="1"/>
        <v>singlet</v>
      </c>
      <c r="I110" t="s">
        <v>14</v>
      </c>
    </row>
    <row r="111" spans="1:9" x14ac:dyDescent="0.25">
      <c r="A111" t="s">
        <v>456</v>
      </c>
      <c r="B111">
        <v>-3587.1983210089602</v>
      </c>
      <c r="C111">
        <v>-3587.1490124544898</v>
      </c>
      <c r="D111">
        <v>-3587.1246896889202</v>
      </c>
      <c r="E111" t="s">
        <v>457</v>
      </c>
      <c r="F111" t="s">
        <v>458</v>
      </c>
      <c r="G111" t="s">
        <v>459</v>
      </c>
      <c r="H111" t="str">
        <f t="shared" si="1"/>
        <v>singlet</v>
      </c>
      <c r="I111" t="s">
        <v>276</v>
      </c>
    </row>
    <row r="112" spans="1:9" x14ac:dyDescent="0.25">
      <c r="A112" t="s">
        <v>460</v>
      </c>
      <c r="B112">
        <v>-3509.9392703660901</v>
      </c>
      <c r="C112">
        <v>-3509.8860028202898</v>
      </c>
      <c r="D112">
        <v>-3509.8627399135999</v>
      </c>
      <c r="E112" t="s">
        <v>461</v>
      </c>
      <c r="F112" t="s">
        <v>462</v>
      </c>
      <c r="G112" t="s">
        <v>459</v>
      </c>
      <c r="H112" t="str">
        <f t="shared" si="1"/>
        <v>singlet</v>
      </c>
      <c r="I112" t="s">
        <v>276</v>
      </c>
    </row>
    <row r="113" spans="1:9" x14ac:dyDescent="0.25">
      <c r="A113" t="s">
        <v>463</v>
      </c>
      <c r="B113">
        <v>-2951.4679119049401</v>
      </c>
      <c r="C113">
        <v>-2951.39435296686</v>
      </c>
      <c r="D113">
        <v>-2951.3220901845202</v>
      </c>
      <c r="E113" t="s">
        <v>464</v>
      </c>
      <c r="F113" t="s">
        <v>465</v>
      </c>
      <c r="G113" t="s">
        <v>466</v>
      </c>
      <c r="H113" t="str">
        <f t="shared" si="1"/>
        <v>singlet</v>
      </c>
      <c r="I113" t="s">
        <v>113</v>
      </c>
    </row>
    <row r="114" spans="1:9" x14ac:dyDescent="0.25">
      <c r="A114" t="s">
        <v>467</v>
      </c>
      <c r="B114">
        <v>-4338.2963893153001</v>
      </c>
      <c r="C114">
        <v>-4338.2365219507401</v>
      </c>
      <c r="D114">
        <v>-4338.1678394834398</v>
      </c>
      <c r="E114" t="s">
        <v>468</v>
      </c>
      <c r="F114" t="s">
        <v>469</v>
      </c>
      <c r="G114" t="s">
        <v>470</v>
      </c>
      <c r="H114" t="str">
        <f t="shared" si="1"/>
        <v>singlet</v>
      </c>
      <c r="I114" t="s">
        <v>286</v>
      </c>
    </row>
    <row r="115" spans="1:9" x14ac:dyDescent="0.25">
      <c r="A115" t="s">
        <v>471</v>
      </c>
      <c r="B115">
        <v>-4054.2420595509998</v>
      </c>
      <c r="C115">
        <v>-4054.18357853221</v>
      </c>
      <c r="D115">
        <v>-4054.1150937467301</v>
      </c>
      <c r="E115" t="s">
        <v>472</v>
      </c>
      <c r="F115" t="s">
        <v>473</v>
      </c>
      <c r="G115" t="s">
        <v>470</v>
      </c>
      <c r="H115" t="str">
        <f t="shared" si="1"/>
        <v>singlet</v>
      </c>
      <c r="I115" t="s">
        <v>286</v>
      </c>
    </row>
    <row r="116" spans="1:9" x14ac:dyDescent="0.25">
      <c r="A116" t="s">
        <v>474</v>
      </c>
      <c r="B116">
        <v>-2364.3152690350198</v>
      </c>
      <c r="C116">
        <v>-2364.25919495895</v>
      </c>
      <c r="D116">
        <v>-2364.1908506033301</v>
      </c>
      <c r="E116" t="s">
        <v>475</v>
      </c>
      <c r="F116" t="s">
        <v>476</v>
      </c>
      <c r="G116" t="s">
        <v>470</v>
      </c>
      <c r="H116" t="str">
        <f t="shared" si="1"/>
        <v>singlet</v>
      </c>
      <c r="I116" t="s">
        <v>286</v>
      </c>
    </row>
    <row r="117" spans="1:9" x14ac:dyDescent="0.25">
      <c r="A117" t="s">
        <v>477</v>
      </c>
      <c r="B117">
        <v>-4302.3607916790897</v>
      </c>
      <c r="C117">
        <v>-4302.3007302645701</v>
      </c>
      <c r="D117">
        <v>-4302.2322937338304</v>
      </c>
      <c r="E117" t="s">
        <v>478</v>
      </c>
      <c r="F117" t="s">
        <v>479</v>
      </c>
      <c r="G117" t="s">
        <v>470</v>
      </c>
      <c r="H117" t="str">
        <f t="shared" si="1"/>
        <v>singlet</v>
      </c>
      <c r="I117" t="s">
        <v>286</v>
      </c>
    </row>
    <row r="118" spans="1:9" x14ac:dyDescent="0.25">
      <c r="A118" t="s">
        <v>480</v>
      </c>
      <c r="B118">
        <v>-4033.6392186704902</v>
      </c>
      <c r="C118">
        <v>-4033.5789094622501</v>
      </c>
      <c r="D118">
        <v>-4033.5106454199899</v>
      </c>
      <c r="E118" t="s">
        <v>481</v>
      </c>
      <c r="F118" t="s">
        <v>482</v>
      </c>
      <c r="G118" t="s">
        <v>470</v>
      </c>
      <c r="H118" t="str">
        <f t="shared" si="1"/>
        <v>singlet</v>
      </c>
      <c r="I118" t="s">
        <v>286</v>
      </c>
    </row>
    <row r="119" spans="1:9" x14ac:dyDescent="0.25">
      <c r="A119" t="s">
        <v>483</v>
      </c>
      <c r="B119">
        <v>-4073.2075703196301</v>
      </c>
      <c r="C119">
        <v>-4073.14780518315</v>
      </c>
      <c r="D119">
        <v>-4073.0789824777999</v>
      </c>
      <c r="E119" t="s">
        <v>484</v>
      </c>
      <c r="F119" t="s">
        <v>485</v>
      </c>
      <c r="H119" t="str">
        <f t="shared" si="1"/>
        <v>singlet</v>
      </c>
    </row>
    <row r="120" spans="1:9" x14ac:dyDescent="0.25">
      <c r="A120" t="s">
        <v>486</v>
      </c>
      <c r="B120">
        <v>-4037.27201457105</v>
      </c>
      <c r="C120">
        <v>-4037.2117138653298</v>
      </c>
      <c r="D120">
        <v>-4037.1435697639499</v>
      </c>
      <c r="E120" t="s">
        <v>487</v>
      </c>
      <c r="F120" t="s">
        <v>488</v>
      </c>
      <c r="G120" t="s">
        <v>470</v>
      </c>
      <c r="H120" t="str">
        <f t="shared" si="1"/>
        <v>singlet</v>
      </c>
      <c r="I120" t="s">
        <v>286</v>
      </c>
    </row>
    <row r="121" spans="1:9" x14ac:dyDescent="0.25">
      <c r="A121" t="s">
        <v>489</v>
      </c>
      <c r="B121">
        <v>-4180.1615047399</v>
      </c>
      <c r="C121">
        <v>-4180.1020287105903</v>
      </c>
      <c r="D121">
        <v>-4180.0336769059404</v>
      </c>
      <c r="E121" t="s">
        <v>490</v>
      </c>
      <c r="F121" t="s">
        <v>491</v>
      </c>
      <c r="G121" t="s">
        <v>470</v>
      </c>
      <c r="H121" t="str">
        <f t="shared" si="1"/>
        <v>singlet</v>
      </c>
      <c r="I121" t="s">
        <v>286</v>
      </c>
    </row>
    <row r="122" spans="1:9" x14ac:dyDescent="0.25">
      <c r="A122" t="s">
        <v>492</v>
      </c>
      <c r="B122">
        <v>-4176.4801633034403</v>
      </c>
      <c r="C122">
        <v>-4176.4905206772</v>
      </c>
      <c r="D122">
        <v>-4176.4166305816198</v>
      </c>
      <c r="E122" t="s">
        <v>493</v>
      </c>
      <c r="F122" t="s">
        <v>494</v>
      </c>
      <c r="G122" t="s">
        <v>495</v>
      </c>
      <c r="H122" t="str">
        <f t="shared" si="1"/>
        <v>triplet</v>
      </c>
      <c r="I122" t="s">
        <v>19</v>
      </c>
    </row>
    <row r="123" spans="1:9" x14ac:dyDescent="0.25">
      <c r="A123" t="s">
        <v>496</v>
      </c>
      <c r="B123">
        <v>-2965.9016872023299</v>
      </c>
      <c r="C123">
        <v>-2965.84017310025</v>
      </c>
      <c r="D123">
        <v>-2965.7714271797699</v>
      </c>
      <c r="E123" t="s">
        <v>497</v>
      </c>
      <c r="F123" t="s">
        <v>498</v>
      </c>
      <c r="G123" t="s">
        <v>499</v>
      </c>
      <c r="H123" t="str">
        <f t="shared" si="1"/>
        <v>singlet</v>
      </c>
      <c r="I123" t="s">
        <v>127</v>
      </c>
    </row>
    <row r="124" spans="1:9" x14ac:dyDescent="0.25">
      <c r="A124" t="s">
        <v>500</v>
      </c>
      <c r="B124">
        <v>-3122.8917442724801</v>
      </c>
      <c r="C124">
        <v>-3122.8598614002999</v>
      </c>
      <c r="D124">
        <v>-3122.7967352106998</v>
      </c>
      <c r="E124" t="s">
        <v>501</v>
      </c>
      <c r="F124" t="s">
        <v>502</v>
      </c>
      <c r="G124" t="s">
        <v>503</v>
      </c>
      <c r="H124" t="str">
        <f t="shared" si="1"/>
        <v>singlet</v>
      </c>
      <c r="I124" t="s">
        <v>77</v>
      </c>
    </row>
    <row r="125" spans="1:9" x14ac:dyDescent="0.25">
      <c r="A125" t="s">
        <v>504</v>
      </c>
      <c r="B125">
        <v>-2722.3584513349501</v>
      </c>
      <c r="C125">
        <v>-2722.3057347201502</v>
      </c>
      <c r="D125">
        <v>-2722.2547001806101</v>
      </c>
      <c r="E125" t="s">
        <v>505</v>
      </c>
      <c r="F125" t="s">
        <v>506</v>
      </c>
      <c r="G125" t="s">
        <v>507</v>
      </c>
      <c r="H125" t="str">
        <f t="shared" si="1"/>
        <v>singlet</v>
      </c>
      <c r="I125" t="s">
        <v>77</v>
      </c>
    </row>
    <row r="126" spans="1:9" x14ac:dyDescent="0.25">
      <c r="A126" t="s">
        <v>508</v>
      </c>
      <c r="B126">
        <v>-3193.3059226130999</v>
      </c>
      <c r="C126">
        <v>-3193.2624631920999</v>
      </c>
      <c r="D126">
        <v>-3193.2177396372499</v>
      </c>
      <c r="E126" t="s">
        <v>509</v>
      </c>
      <c r="F126" t="s">
        <v>510</v>
      </c>
      <c r="G126" t="s">
        <v>507</v>
      </c>
      <c r="H126" t="str">
        <f t="shared" si="1"/>
        <v>singlet</v>
      </c>
      <c r="I126" t="s">
        <v>77</v>
      </c>
    </row>
    <row r="127" spans="1:9" x14ac:dyDescent="0.25">
      <c r="A127" t="s">
        <v>511</v>
      </c>
      <c r="B127">
        <v>-3794.6034393022101</v>
      </c>
      <c r="C127">
        <v>-3794.5596774992</v>
      </c>
      <c r="D127">
        <v>-3794.4900870327701</v>
      </c>
      <c r="E127" t="s">
        <v>512</v>
      </c>
      <c r="F127" t="s">
        <v>513</v>
      </c>
      <c r="G127" t="s">
        <v>514</v>
      </c>
      <c r="H127" t="str">
        <f t="shared" si="1"/>
        <v>singlet</v>
      </c>
      <c r="I127" t="s">
        <v>108</v>
      </c>
    </row>
    <row r="128" spans="1:9" x14ac:dyDescent="0.25">
      <c r="A128" t="s">
        <v>515</v>
      </c>
      <c r="B128">
        <v>-3747.3867338689902</v>
      </c>
      <c r="C128">
        <v>-3747.3320107060599</v>
      </c>
      <c r="D128">
        <v>-3747.26890131445</v>
      </c>
      <c r="E128" t="s">
        <v>516</v>
      </c>
      <c r="F128" t="s">
        <v>517</v>
      </c>
      <c r="G128" t="s">
        <v>518</v>
      </c>
      <c r="H128" t="str">
        <f t="shared" si="1"/>
        <v>singlet</v>
      </c>
      <c r="I128" t="s">
        <v>77</v>
      </c>
    </row>
    <row r="129" spans="1:9" x14ac:dyDescent="0.25">
      <c r="A129" t="s">
        <v>519</v>
      </c>
      <c r="B129">
        <v>-2411.8679731653001</v>
      </c>
      <c r="C129">
        <v>-2411.7967036466098</v>
      </c>
      <c r="D129">
        <v>-2411.7235673846299</v>
      </c>
      <c r="E129" t="s">
        <v>520</v>
      </c>
      <c r="F129" t="s">
        <v>521</v>
      </c>
      <c r="G129" t="s">
        <v>522</v>
      </c>
      <c r="H129" t="str">
        <f t="shared" si="1"/>
        <v>singlet</v>
      </c>
      <c r="I129" t="s">
        <v>14</v>
      </c>
    </row>
    <row r="130" spans="1:9" x14ac:dyDescent="0.25">
      <c r="A130" t="s">
        <v>523</v>
      </c>
      <c r="B130">
        <v>-2372.6150588285</v>
      </c>
      <c r="C130">
        <v>-2372.5440305502698</v>
      </c>
      <c r="D130">
        <v>-2372.4709827417601</v>
      </c>
      <c r="E130" t="s">
        <v>524</v>
      </c>
      <c r="F130" t="s">
        <v>525</v>
      </c>
      <c r="G130" t="s">
        <v>522</v>
      </c>
      <c r="H130" t="str">
        <f t="shared" ref="H130:H193" si="2">IF(OR(B130="", C130="", D130=""), "", INDEX($B$1:$D$1,MATCH(MIN(B130:D130),B130:D130,0)))</f>
        <v>singlet</v>
      </c>
      <c r="I130" t="s">
        <v>14</v>
      </c>
    </row>
    <row r="131" spans="1:9" x14ac:dyDescent="0.25">
      <c r="A131" t="s">
        <v>526</v>
      </c>
      <c r="E131" t="s">
        <v>527</v>
      </c>
      <c r="F131" t="s">
        <v>528</v>
      </c>
      <c r="G131" t="s">
        <v>529</v>
      </c>
      <c r="H131" t="str">
        <f t="shared" si="2"/>
        <v/>
      </c>
      <c r="I131" t="s">
        <v>77</v>
      </c>
    </row>
    <row r="132" spans="1:9" x14ac:dyDescent="0.25">
      <c r="A132" t="s">
        <v>530</v>
      </c>
      <c r="B132">
        <v>-3317.1837659988901</v>
      </c>
      <c r="C132">
        <v>-3317.1366200699099</v>
      </c>
      <c r="D132">
        <v>-3317.0730322896902</v>
      </c>
      <c r="E132" t="s">
        <v>531</v>
      </c>
      <c r="F132" t="s">
        <v>532</v>
      </c>
      <c r="G132" t="s">
        <v>533</v>
      </c>
      <c r="H132" t="str">
        <f t="shared" si="2"/>
        <v>singlet</v>
      </c>
      <c r="I132" t="s">
        <v>241</v>
      </c>
    </row>
    <row r="133" spans="1:9" x14ac:dyDescent="0.25">
      <c r="A133" t="s">
        <v>534</v>
      </c>
      <c r="B133">
        <v>-2560.26725485409</v>
      </c>
      <c r="D133">
        <v>-2560.12668850096</v>
      </c>
      <c r="E133" t="s">
        <v>535</v>
      </c>
      <c r="F133" t="s">
        <v>536</v>
      </c>
      <c r="G133" t="s">
        <v>537</v>
      </c>
      <c r="H133" t="str">
        <f t="shared" si="2"/>
        <v/>
      </c>
      <c r="I133" t="s">
        <v>108</v>
      </c>
    </row>
    <row r="134" spans="1:9" x14ac:dyDescent="0.25">
      <c r="A134" t="s">
        <v>538</v>
      </c>
      <c r="B134">
        <v>-2366.4304269075501</v>
      </c>
      <c r="C134">
        <v>-2366.3553559708598</v>
      </c>
      <c r="D134">
        <v>-2366.28699513637</v>
      </c>
      <c r="E134" t="s">
        <v>539</v>
      </c>
      <c r="F134" t="s">
        <v>485</v>
      </c>
      <c r="H134" t="str">
        <f t="shared" si="2"/>
        <v>singlet</v>
      </c>
    </row>
    <row r="135" spans="1:9" x14ac:dyDescent="0.25">
      <c r="A135" t="s">
        <v>540</v>
      </c>
      <c r="B135">
        <v>-3665.3429765338601</v>
      </c>
      <c r="C135">
        <v>-3665.3579121159</v>
      </c>
      <c r="D135">
        <v>-3665.3864709947202</v>
      </c>
      <c r="E135" t="s">
        <v>541</v>
      </c>
      <c r="F135" t="s">
        <v>542</v>
      </c>
      <c r="G135" t="s">
        <v>543</v>
      </c>
      <c r="H135" t="str">
        <f t="shared" si="2"/>
        <v>quintet</v>
      </c>
      <c r="I135" t="s">
        <v>271</v>
      </c>
    </row>
    <row r="136" spans="1:9" x14ac:dyDescent="0.25">
      <c r="A136" t="s">
        <v>544</v>
      </c>
      <c r="B136">
        <v>-3794.2191849106298</v>
      </c>
      <c r="C136">
        <v>-3794.1539419452702</v>
      </c>
      <c r="D136">
        <v>-3794.0803918968099</v>
      </c>
      <c r="E136" t="s">
        <v>545</v>
      </c>
      <c r="F136" t="s">
        <v>546</v>
      </c>
      <c r="G136" t="s">
        <v>547</v>
      </c>
      <c r="H136" t="str">
        <f t="shared" si="2"/>
        <v>singlet</v>
      </c>
      <c r="I136" t="s">
        <v>77</v>
      </c>
    </row>
    <row r="137" spans="1:9" x14ac:dyDescent="0.25">
      <c r="A137" t="s">
        <v>548</v>
      </c>
      <c r="B137">
        <v>-2431.3535765049701</v>
      </c>
      <c r="C137">
        <v>-2431.2977903572701</v>
      </c>
      <c r="D137">
        <v>-2431.2331569081198</v>
      </c>
      <c r="E137" t="s">
        <v>549</v>
      </c>
      <c r="F137" t="s">
        <v>550</v>
      </c>
      <c r="G137" t="s">
        <v>551</v>
      </c>
      <c r="H137" t="str">
        <f t="shared" si="2"/>
        <v>singlet</v>
      </c>
      <c r="I137" t="s">
        <v>77</v>
      </c>
    </row>
    <row r="138" spans="1:9" x14ac:dyDescent="0.25">
      <c r="A138" t="s">
        <v>552</v>
      </c>
      <c r="E138" t="s">
        <v>553</v>
      </c>
      <c r="F138" t="s">
        <v>554</v>
      </c>
      <c r="G138" t="s">
        <v>555</v>
      </c>
      <c r="H138" t="str">
        <f t="shared" si="2"/>
        <v/>
      </c>
      <c r="I138" t="s">
        <v>286</v>
      </c>
    </row>
    <row r="139" spans="1:9" x14ac:dyDescent="0.25">
      <c r="A139" t="s">
        <v>556</v>
      </c>
      <c r="B139">
        <v>-4369.3998418511101</v>
      </c>
      <c r="C139">
        <v>-4369.34398049231</v>
      </c>
      <c r="D139">
        <v>-4369.2749339459397</v>
      </c>
      <c r="E139" t="s">
        <v>557</v>
      </c>
      <c r="F139" t="s">
        <v>558</v>
      </c>
      <c r="G139" t="s">
        <v>559</v>
      </c>
      <c r="H139" t="str">
        <f t="shared" si="2"/>
        <v>singlet</v>
      </c>
      <c r="I139" t="s">
        <v>560</v>
      </c>
    </row>
    <row r="140" spans="1:9" x14ac:dyDescent="0.25">
      <c r="A140" t="s">
        <v>561</v>
      </c>
      <c r="B140">
        <v>-4453.3355705874401</v>
      </c>
      <c r="C140">
        <v>-4453.2765248140404</v>
      </c>
      <c r="D140">
        <v>-4453.2092129754701</v>
      </c>
      <c r="E140" t="s">
        <v>562</v>
      </c>
      <c r="F140" t="s">
        <v>563</v>
      </c>
      <c r="G140" t="s">
        <v>559</v>
      </c>
      <c r="H140" t="str">
        <f t="shared" si="2"/>
        <v>singlet</v>
      </c>
      <c r="I140" t="s">
        <v>560</v>
      </c>
    </row>
    <row r="141" spans="1:9" x14ac:dyDescent="0.25">
      <c r="A141" t="s">
        <v>564</v>
      </c>
      <c r="B141">
        <v>-3608.9806214349301</v>
      </c>
      <c r="C141">
        <v>-3608.98130629565</v>
      </c>
      <c r="D141">
        <v>-3608.9467591784701</v>
      </c>
      <c r="E141" t="s">
        <v>565</v>
      </c>
      <c r="F141" t="s">
        <v>566</v>
      </c>
      <c r="G141" t="s">
        <v>567</v>
      </c>
      <c r="H141" t="str">
        <f t="shared" si="2"/>
        <v>triplet</v>
      </c>
      <c r="I141" t="s">
        <v>77</v>
      </c>
    </row>
    <row r="142" spans="1:9" x14ac:dyDescent="0.25">
      <c r="A142" t="s">
        <v>568</v>
      </c>
      <c r="B142">
        <v>-2798.7636592264598</v>
      </c>
      <c r="C142">
        <v>-2798.70922793004</v>
      </c>
      <c r="D142">
        <v>-2798.63972731895</v>
      </c>
      <c r="E142" t="s">
        <v>569</v>
      </c>
      <c r="F142" t="s">
        <v>570</v>
      </c>
      <c r="G142" t="s">
        <v>571</v>
      </c>
      <c r="H142" t="str">
        <f t="shared" si="2"/>
        <v>singlet</v>
      </c>
      <c r="I142" t="s">
        <v>137</v>
      </c>
    </row>
    <row r="143" spans="1:9" x14ac:dyDescent="0.25">
      <c r="A143" t="s">
        <v>572</v>
      </c>
      <c r="B143">
        <v>-4859.0483668216502</v>
      </c>
      <c r="C143">
        <v>-4858.9907317229299</v>
      </c>
      <c r="D143">
        <v>-4858.9235862897203</v>
      </c>
      <c r="E143" t="s">
        <v>573</v>
      </c>
      <c r="F143" t="s">
        <v>574</v>
      </c>
      <c r="G143" t="s">
        <v>575</v>
      </c>
      <c r="H143" t="str">
        <f t="shared" si="2"/>
        <v>singlet</v>
      </c>
      <c r="I143" t="s">
        <v>161</v>
      </c>
    </row>
    <row r="144" spans="1:9" x14ac:dyDescent="0.25">
      <c r="A144" t="s">
        <v>576</v>
      </c>
      <c r="E144" t="s">
        <v>577</v>
      </c>
      <c r="F144" t="s">
        <v>578</v>
      </c>
      <c r="G144" t="s">
        <v>575</v>
      </c>
      <c r="H144" t="str">
        <f t="shared" si="2"/>
        <v/>
      </c>
      <c r="I144" t="s">
        <v>161</v>
      </c>
    </row>
    <row r="145" spans="1:9" x14ac:dyDescent="0.25">
      <c r="A145" t="s">
        <v>579</v>
      </c>
      <c r="B145">
        <v>-3680.5232981571298</v>
      </c>
      <c r="C145">
        <v>-3680.4547046665198</v>
      </c>
      <c r="D145">
        <v>-3680.4196312443401</v>
      </c>
      <c r="E145" t="s">
        <v>580</v>
      </c>
      <c r="F145" t="s">
        <v>581</v>
      </c>
      <c r="G145" t="s">
        <v>582</v>
      </c>
      <c r="H145" t="str">
        <f t="shared" si="2"/>
        <v>singlet</v>
      </c>
      <c r="I145" t="s">
        <v>14</v>
      </c>
    </row>
    <row r="146" spans="1:9" x14ac:dyDescent="0.25">
      <c r="A146" t="s">
        <v>583</v>
      </c>
      <c r="B146">
        <v>-3981.1767595279098</v>
      </c>
      <c r="C146">
        <v>-3981.10933025748</v>
      </c>
      <c r="D146">
        <v>-3981.0394519746201</v>
      </c>
      <c r="E146" t="s">
        <v>584</v>
      </c>
      <c r="F146" t="s">
        <v>585</v>
      </c>
      <c r="G146" t="s">
        <v>582</v>
      </c>
      <c r="H146" t="str">
        <f t="shared" si="2"/>
        <v>singlet</v>
      </c>
      <c r="I146" t="s">
        <v>14</v>
      </c>
    </row>
    <row r="147" spans="1:9" x14ac:dyDescent="0.25">
      <c r="A147" t="s">
        <v>586</v>
      </c>
      <c r="B147">
        <v>-8802.1196094651696</v>
      </c>
      <c r="C147">
        <v>-8802.0611722852991</v>
      </c>
      <c r="D147">
        <v>-8801.9926319814203</v>
      </c>
      <c r="E147" t="s">
        <v>587</v>
      </c>
      <c r="F147" t="s">
        <v>588</v>
      </c>
      <c r="G147" t="s">
        <v>589</v>
      </c>
      <c r="H147" t="str">
        <f t="shared" si="2"/>
        <v>singlet</v>
      </c>
      <c r="I147" t="s">
        <v>72</v>
      </c>
    </row>
    <row r="148" spans="1:9" x14ac:dyDescent="0.25">
      <c r="A148" t="s">
        <v>590</v>
      </c>
      <c r="B148">
        <v>-5666.2403098013201</v>
      </c>
      <c r="C148">
        <v>-5666.1894456425798</v>
      </c>
      <c r="D148">
        <v>-5666.1233984533501</v>
      </c>
      <c r="E148" t="s">
        <v>591</v>
      </c>
      <c r="F148" t="s">
        <v>592</v>
      </c>
      <c r="G148" t="s">
        <v>593</v>
      </c>
      <c r="H148" t="str">
        <f t="shared" si="2"/>
        <v>singlet</v>
      </c>
      <c r="I148" t="s">
        <v>58</v>
      </c>
    </row>
    <row r="149" spans="1:9" x14ac:dyDescent="0.25">
      <c r="A149" t="s">
        <v>594</v>
      </c>
      <c r="B149">
        <v>-3550.8943472834999</v>
      </c>
      <c r="C149">
        <v>-3550.8259646707702</v>
      </c>
      <c r="D149">
        <v>-3550.7613437002001</v>
      </c>
      <c r="E149" t="s">
        <v>595</v>
      </c>
      <c r="F149" t="s">
        <v>596</v>
      </c>
      <c r="G149" t="s">
        <v>597</v>
      </c>
      <c r="H149" t="str">
        <f t="shared" si="2"/>
        <v>singlet</v>
      </c>
      <c r="I149" t="s">
        <v>19</v>
      </c>
    </row>
    <row r="150" spans="1:9" x14ac:dyDescent="0.25">
      <c r="A150" t="s">
        <v>598</v>
      </c>
      <c r="B150">
        <v>-2635.3768849502198</v>
      </c>
      <c r="C150">
        <v>-2635.3494216536301</v>
      </c>
      <c r="D150">
        <v>-2635.2862765988202</v>
      </c>
      <c r="E150" t="s">
        <v>599</v>
      </c>
      <c r="F150" t="s">
        <v>600</v>
      </c>
      <c r="G150" t="s">
        <v>601</v>
      </c>
      <c r="H150" t="str">
        <f t="shared" si="2"/>
        <v>singlet</v>
      </c>
      <c r="I150" t="s">
        <v>77</v>
      </c>
    </row>
    <row r="151" spans="1:9" x14ac:dyDescent="0.25">
      <c r="A151" t="s">
        <v>602</v>
      </c>
      <c r="B151">
        <v>-5241.3476768100199</v>
      </c>
      <c r="C151">
        <v>-5241.2898246192899</v>
      </c>
      <c r="D151">
        <v>-5241.2214608233098</v>
      </c>
      <c r="E151" t="s">
        <v>603</v>
      </c>
      <c r="F151" t="s">
        <v>604</v>
      </c>
      <c r="G151" t="s">
        <v>605</v>
      </c>
      <c r="H151" t="str">
        <f t="shared" si="2"/>
        <v>singlet</v>
      </c>
      <c r="I151" t="s">
        <v>262</v>
      </c>
    </row>
    <row r="152" spans="1:9" x14ac:dyDescent="0.25">
      <c r="A152" t="s">
        <v>606</v>
      </c>
      <c r="B152">
        <v>-3065.75191109055</v>
      </c>
      <c r="C152">
        <v>-3065.68637131064</v>
      </c>
      <c r="D152">
        <v>-3065.6128069655501</v>
      </c>
      <c r="E152" t="s">
        <v>607</v>
      </c>
      <c r="F152" t="s">
        <v>608</v>
      </c>
      <c r="G152" t="s">
        <v>609</v>
      </c>
      <c r="H152" t="str">
        <f t="shared" si="2"/>
        <v>singlet</v>
      </c>
      <c r="I152" t="s">
        <v>14</v>
      </c>
    </row>
    <row r="153" spans="1:9" x14ac:dyDescent="0.25">
      <c r="A153" t="s">
        <v>610</v>
      </c>
      <c r="B153">
        <v>-5884.7293320041199</v>
      </c>
      <c r="C153">
        <v>-5884.67148212553</v>
      </c>
      <c r="D153">
        <v>-5884.59986018789</v>
      </c>
      <c r="E153" t="s">
        <v>611</v>
      </c>
      <c r="F153" t="s">
        <v>612</v>
      </c>
      <c r="G153" t="s">
        <v>613</v>
      </c>
      <c r="H153" t="str">
        <f t="shared" si="2"/>
        <v>singlet</v>
      </c>
      <c r="I153" t="s">
        <v>108</v>
      </c>
    </row>
    <row r="154" spans="1:9" x14ac:dyDescent="0.25">
      <c r="A154" t="s">
        <v>614</v>
      </c>
      <c r="E154" t="s">
        <v>615</v>
      </c>
      <c r="F154" t="s">
        <v>616</v>
      </c>
      <c r="G154" t="s">
        <v>617</v>
      </c>
      <c r="H154" t="str">
        <f t="shared" si="2"/>
        <v/>
      </c>
      <c r="I154" t="s">
        <v>77</v>
      </c>
    </row>
    <row r="155" spans="1:9" x14ac:dyDescent="0.25">
      <c r="A155" t="s">
        <v>618</v>
      </c>
      <c r="E155" t="s">
        <v>619</v>
      </c>
      <c r="F155" t="s">
        <v>620</v>
      </c>
      <c r="G155" t="s">
        <v>617</v>
      </c>
      <c r="H155" t="str">
        <f t="shared" si="2"/>
        <v/>
      </c>
      <c r="I155" t="s">
        <v>77</v>
      </c>
    </row>
    <row r="156" spans="1:9" x14ac:dyDescent="0.25">
      <c r="A156" t="s">
        <v>621</v>
      </c>
      <c r="B156">
        <v>-4090.1721798604299</v>
      </c>
      <c r="C156">
        <v>-4090.1126731812301</v>
      </c>
      <c r="D156">
        <v>-4090.0448486831501</v>
      </c>
      <c r="E156" t="s">
        <v>622</v>
      </c>
      <c r="F156" t="s">
        <v>623</v>
      </c>
      <c r="G156" t="s">
        <v>624</v>
      </c>
      <c r="H156" t="str">
        <f t="shared" si="2"/>
        <v>singlet</v>
      </c>
      <c r="I156" t="s">
        <v>560</v>
      </c>
    </row>
    <row r="157" spans="1:9" x14ac:dyDescent="0.25">
      <c r="A157" t="s">
        <v>625</v>
      </c>
      <c r="B157">
        <v>-4257.7526361669397</v>
      </c>
      <c r="C157">
        <v>-4257.7301500551202</v>
      </c>
      <c r="D157">
        <v>-4257.6610866127503</v>
      </c>
      <c r="E157" t="s">
        <v>626</v>
      </c>
      <c r="F157" t="s">
        <v>627</v>
      </c>
      <c r="G157" t="s">
        <v>628</v>
      </c>
      <c r="H157" t="str">
        <f t="shared" si="2"/>
        <v>singlet</v>
      </c>
      <c r="I157" t="s">
        <v>77</v>
      </c>
    </row>
    <row r="158" spans="1:9" x14ac:dyDescent="0.25">
      <c r="A158" t="s">
        <v>629</v>
      </c>
      <c r="B158">
        <v>-4090.17217280045</v>
      </c>
      <c r="C158">
        <v>-4090.1126581037402</v>
      </c>
      <c r="D158">
        <v>-4090.0448424383399</v>
      </c>
      <c r="E158" t="s">
        <v>630</v>
      </c>
      <c r="F158" t="s">
        <v>631</v>
      </c>
      <c r="G158" t="s">
        <v>632</v>
      </c>
      <c r="H158" t="str">
        <f t="shared" si="2"/>
        <v>singlet</v>
      </c>
      <c r="I158" t="s">
        <v>633</v>
      </c>
    </row>
    <row r="159" spans="1:9" x14ac:dyDescent="0.25">
      <c r="A159" t="s">
        <v>634</v>
      </c>
      <c r="B159">
        <v>-1992.8975530402199</v>
      </c>
      <c r="C159">
        <v>-1992.82375571639</v>
      </c>
      <c r="D159">
        <v>-1992.7499408921101</v>
      </c>
      <c r="E159" t="s">
        <v>635</v>
      </c>
      <c r="F159" t="s">
        <v>636</v>
      </c>
      <c r="G159" t="s">
        <v>637</v>
      </c>
      <c r="H159" t="str">
        <f t="shared" si="2"/>
        <v>singlet</v>
      </c>
      <c r="I159" t="s">
        <v>14</v>
      </c>
    </row>
    <row r="160" spans="1:9" x14ac:dyDescent="0.25">
      <c r="A160" t="s">
        <v>638</v>
      </c>
      <c r="B160">
        <v>-4155.8519407266103</v>
      </c>
      <c r="C160">
        <v>-4155.8519812429804</v>
      </c>
      <c r="E160" t="s">
        <v>639</v>
      </c>
      <c r="F160" t="s">
        <v>640</v>
      </c>
      <c r="G160" t="s">
        <v>641</v>
      </c>
      <c r="H160" t="str">
        <f t="shared" si="2"/>
        <v/>
      </c>
      <c r="I160" t="s">
        <v>77</v>
      </c>
    </row>
    <row r="161" spans="1:9" x14ac:dyDescent="0.25">
      <c r="A161" t="s">
        <v>642</v>
      </c>
      <c r="E161" t="s">
        <v>643</v>
      </c>
      <c r="F161" t="s">
        <v>644</v>
      </c>
      <c r="G161" t="s">
        <v>645</v>
      </c>
      <c r="H161" t="str">
        <f t="shared" si="2"/>
        <v/>
      </c>
      <c r="I161" t="s">
        <v>646</v>
      </c>
    </row>
    <row r="162" spans="1:9" x14ac:dyDescent="0.25">
      <c r="A162" t="s">
        <v>647</v>
      </c>
      <c r="E162" t="s">
        <v>648</v>
      </c>
      <c r="F162" t="s">
        <v>649</v>
      </c>
      <c r="G162" t="s">
        <v>650</v>
      </c>
      <c r="H162" t="str">
        <f t="shared" si="2"/>
        <v/>
      </c>
      <c r="I162" t="s">
        <v>19</v>
      </c>
    </row>
    <row r="163" spans="1:9" x14ac:dyDescent="0.25">
      <c r="A163" t="s">
        <v>651</v>
      </c>
      <c r="E163" t="s">
        <v>652</v>
      </c>
      <c r="F163" t="s">
        <v>653</v>
      </c>
      <c r="G163" t="s">
        <v>654</v>
      </c>
      <c r="H163" t="str">
        <f t="shared" si="2"/>
        <v/>
      </c>
      <c r="I163" t="s">
        <v>14</v>
      </c>
    </row>
    <row r="164" spans="1:9" x14ac:dyDescent="0.25">
      <c r="A164" t="s">
        <v>655</v>
      </c>
      <c r="E164" t="s">
        <v>656</v>
      </c>
      <c r="F164" t="s">
        <v>657</v>
      </c>
      <c r="G164" t="s">
        <v>658</v>
      </c>
      <c r="H164" t="str">
        <f t="shared" si="2"/>
        <v/>
      </c>
      <c r="I164" t="s">
        <v>286</v>
      </c>
    </row>
    <row r="165" spans="1:9" x14ac:dyDescent="0.25">
      <c r="A165" t="s">
        <v>659</v>
      </c>
      <c r="B165">
        <v>-2966.1551169783002</v>
      </c>
      <c r="C165">
        <v>-2966.1036767741498</v>
      </c>
      <c r="D165">
        <v>-2966.0353564443999</v>
      </c>
      <c r="E165" t="s">
        <v>660</v>
      </c>
      <c r="F165" t="s">
        <v>661</v>
      </c>
      <c r="G165" t="s">
        <v>662</v>
      </c>
      <c r="H165" t="str">
        <f t="shared" si="2"/>
        <v>singlet</v>
      </c>
      <c r="I165" t="s">
        <v>228</v>
      </c>
    </row>
    <row r="166" spans="1:9" x14ac:dyDescent="0.25">
      <c r="A166" t="s">
        <v>663</v>
      </c>
      <c r="B166">
        <v>-15264.8060589864</v>
      </c>
      <c r="C166">
        <v>-15264.739301260401</v>
      </c>
      <c r="D166">
        <v>-15264.675398352399</v>
      </c>
      <c r="E166" t="s">
        <v>664</v>
      </c>
      <c r="F166" t="s">
        <v>665</v>
      </c>
      <c r="G166" t="s">
        <v>666</v>
      </c>
      <c r="H166" t="str">
        <f t="shared" si="2"/>
        <v>singlet</v>
      </c>
      <c r="I166" t="s">
        <v>218</v>
      </c>
    </row>
    <row r="167" spans="1:9" x14ac:dyDescent="0.25">
      <c r="A167" t="s">
        <v>667</v>
      </c>
      <c r="B167">
        <v>-4109.4733268670898</v>
      </c>
      <c r="C167">
        <v>-4109.4482476459298</v>
      </c>
      <c r="D167">
        <v>-4109.3839692780602</v>
      </c>
      <c r="E167" t="s">
        <v>668</v>
      </c>
      <c r="F167" t="s">
        <v>669</v>
      </c>
      <c r="G167" t="s">
        <v>670</v>
      </c>
      <c r="H167" t="str">
        <f t="shared" si="2"/>
        <v>singlet</v>
      </c>
      <c r="I167" t="s">
        <v>262</v>
      </c>
    </row>
    <row r="168" spans="1:9" x14ac:dyDescent="0.25">
      <c r="A168" t="s">
        <v>671</v>
      </c>
      <c r="B168">
        <v>-4305.6811476478597</v>
      </c>
      <c r="C168">
        <v>-4305.6560368867704</v>
      </c>
      <c r="D168">
        <v>-4305.5944210984098</v>
      </c>
      <c r="E168" t="s">
        <v>672</v>
      </c>
      <c r="F168" t="s">
        <v>673</v>
      </c>
      <c r="G168" t="s">
        <v>670</v>
      </c>
      <c r="H168" t="str">
        <f t="shared" si="2"/>
        <v>singlet</v>
      </c>
      <c r="I168" t="s">
        <v>262</v>
      </c>
    </row>
    <row r="169" spans="1:9" x14ac:dyDescent="0.25">
      <c r="A169" t="s">
        <v>674</v>
      </c>
      <c r="B169">
        <v>-3923.59918776225</v>
      </c>
      <c r="C169">
        <v>-3923.5667472317</v>
      </c>
      <c r="D169">
        <v>-3923.52196761394</v>
      </c>
      <c r="E169" t="s">
        <v>675</v>
      </c>
      <c r="F169" t="s">
        <v>676</v>
      </c>
      <c r="G169" t="s">
        <v>677</v>
      </c>
      <c r="H169" t="str">
        <f t="shared" si="2"/>
        <v>singlet</v>
      </c>
      <c r="I169" t="s">
        <v>241</v>
      </c>
    </row>
    <row r="170" spans="1:9" x14ac:dyDescent="0.25">
      <c r="A170" t="s">
        <v>678</v>
      </c>
      <c r="B170">
        <v>-3829.3087863146998</v>
      </c>
      <c r="C170">
        <v>-3829.2626386798902</v>
      </c>
      <c r="D170">
        <v>-3829.19238875069</v>
      </c>
      <c r="E170" t="s">
        <v>679</v>
      </c>
      <c r="F170" t="s">
        <v>680</v>
      </c>
      <c r="G170" t="s">
        <v>681</v>
      </c>
      <c r="H170" t="str">
        <f t="shared" si="2"/>
        <v>singlet</v>
      </c>
      <c r="I170" t="s">
        <v>77</v>
      </c>
    </row>
    <row r="171" spans="1:9" x14ac:dyDescent="0.25">
      <c r="A171" t="s">
        <v>682</v>
      </c>
      <c r="B171">
        <v>-2203.6916875986999</v>
      </c>
      <c r="C171">
        <v>-2203.6173140800502</v>
      </c>
      <c r="D171">
        <v>-2203.5437786983698</v>
      </c>
      <c r="E171" t="s">
        <v>683</v>
      </c>
      <c r="F171" t="s">
        <v>684</v>
      </c>
      <c r="G171" t="s">
        <v>685</v>
      </c>
      <c r="H171" t="str">
        <f t="shared" si="2"/>
        <v>singlet</v>
      </c>
      <c r="I171" t="s">
        <v>14</v>
      </c>
    </row>
    <row r="172" spans="1:9" x14ac:dyDescent="0.25">
      <c r="A172" t="s">
        <v>686</v>
      </c>
      <c r="B172">
        <v>-2415.24421690905</v>
      </c>
      <c r="C172">
        <v>-2415.1760322181699</v>
      </c>
      <c r="D172">
        <v>-2415.11091927809</v>
      </c>
      <c r="E172" t="s">
        <v>687</v>
      </c>
      <c r="F172" t="s">
        <v>688</v>
      </c>
      <c r="G172" t="s">
        <v>689</v>
      </c>
      <c r="H172" t="str">
        <f t="shared" si="2"/>
        <v>singlet</v>
      </c>
      <c r="I172" t="s">
        <v>14</v>
      </c>
    </row>
    <row r="173" spans="1:9" x14ac:dyDescent="0.25">
      <c r="A173" t="s">
        <v>690</v>
      </c>
      <c r="B173">
        <v>-2722.01440435926</v>
      </c>
      <c r="C173">
        <v>-2721.9461384414299</v>
      </c>
      <c r="D173">
        <v>-2721.8789128090398</v>
      </c>
      <c r="E173" t="s">
        <v>691</v>
      </c>
      <c r="F173" t="s">
        <v>692</v>
      </c>
      <c r="G173" t="s">
        <v>689</v>
      </c>
      <c r="H173" t="str">
        <f t="shared" si="2"/>
        <v>singlet</v>
      </c>
      <c r="I173" t="s">
        <v>14</v>
      </c>
    </row>
    <row r="174" spans="1:9" x14ac:dyDescent="0.25">
      <c r="A174" t="s">
        <v>693</v>
      </c>
      <c r="B174">
        <v>-2582.2096950488199</v>
      </c>
      <c r="C174">
        <v>-2582.1427972851902</v>
      </c>
      <c r="D174">
        <v>-2582.06944070389</v>
      </c>
      <c r="E174" t="s">
        <v>694</v>
      </c>
      <c r="F174" t="s">
        <v>695</v>
      </c>
      <c r="G174" t="s">
        <v>696</v>
      </c>
      <c r="H174" t="str">
        <f t="shared" si="2"/>
        <v>singlet</v>
      </c>
      <c r="I174" t="s">
        <v>14</v>
      </c>
    </row>
    <row r="175" spans="1:9" x14ac:dyDescent="0.25">
      <c r="A175" t="s">
        <v>697</v>
      </c>
      <c r="B175">
        <v>-1741.5729701904299</v>
      </c>
      <c r="C175">
        <v>-1741.50573832741</v>
      </c>
      <c r="D175">
        <v>-1741.43432195072</v>
      </c>
      <c r="E175" t="s">
        <v>698</v>
      </c>
      <c r="F175" t="s">
        <v>699</v>
      </c>
      <c r="G175" t="s">
        <v>696</v>
      </c>
      <c r="H175" t="str">
        <f t="shared" si="2"/>
        <v>singlet</v>
      </c>
      <c r="I175" t="s">
        <v>14</v>
      </c>
    </row>
    <row r="176" spans="1:9" x14ac:dyDescent="0.25">
      <c r="A176" t="s">
        <v>700</v>
      </c>
      <c r="B176">
        <v>-3455.2946879461101</v>
      </c>
      <c r="C176">
        <v>-3455.2692869013999</v>
      </c>
      <c r="D176">
        <v>-3455.20844701226</v>
      </c>
      <c r="E176" t="s">
        <v>701</v>
      </c>
      <c r="F176" t="s">
        <v>702</v>
      </c>
      <c r="G176" t="s">
        <v>703</v>
      </c>
      <c r="H176" t="str">
        <f t="shared" si="2"/>
        <v>singlet</v>
      </c>
      <c r="I176" t="s">
        <v>77</v>
      </c>
    </row>
    <row r="177" spans="1:9" x14ac:dyDescent="0.25">
      <c r="A177" t="s">
        <v>704</v>
      </c>
      <c r="B177">
        <v>-4000.0201761656799</v>
      </c>
      <c r="C177">
        <v>-3999.9815817377398</v>
      </c>
      <c r="D177">
        <v>-3999.9228716191601</v>
      </c>
      <c r="E177" t="s">
        <v>705</v>
      </c>
      <c r="F177" t="s">
        <v>706</v>
      </c>
      <c r="G177" t="s">
        <v>707</v>
      </c>
      <c r="H177" t="str">
        <f t="shared" si="2"/>
        <v>singlet</v>
      </c>
      <c r="I177" t="s">
        <v>58</v>
      </c>
    </row>
    <row r="178" spans="1:9" x14ac:dyDescent="0.25">
      <c r="A178" t="s">
        <v>708</v>
      </c>
      <c r="B178">
        <v>-2525.9714117323201</v>
      </c>
      <c r="C178">
        <v>-2525.9003474742399</v>
      </c>
      <c r="D178">
        <v>-2525.8280923236798</v>
      </c>
      <c r="E178" t="s">
        <v>709</v>
      </c>
      <c r="F178" t="s">
        <v>710</v>
      </c>
      <c r="G178" t="s">
        <v>711</v>
      </c>
      <c r="H178" t="str">
        <f t="shared" si="2"/>
        <v>singlet</v>
      </c>
      <c r="I178" t="s">
        <v>91</v>
      </c>
    </row>
    <row r="179" spans="1:9" x14ac:dyDescent="0.25">
      <c r="A179" t="s">
        <v>712</v>
      </c>
      <c r="B179">
        <v>-3285.09877889679</v>
      </c>
      <c r="C179">
        <v>-3285.0266315438898</v>
      </c>
      <c r="D179">
        <v>-3284.9912560748699</v>
      </c>
      <c r="E179" t="s">
        <v>713</v>
      </c>
      <c r="F179" t="s">
        <v>714</v>
      </c>
      <c r="G179" t="s">
        <v>715</v>
      </c>
      <c r="H179" t="str">
        <f t="shared" si="2"/>
        <v>singlet</v>
      </c>
      <c r="I179" t="s">
        <v>286</v>
      </c>
    </row>
    <row r="180" spans="1:9" x14ac:dyDescent="0.25">
      <c r="A180" t="s">
        <v>716</v>
      </c>
      <c r="B180">
        <v>-4719.2865879069004</v>
      </c>
      <c r="C180">
        <v>-4719.2670325095796</v>
      </c>
      <c r="D180">
        <v>-4719.1996969198899</v>
      </c>
      <c r="E180" t="s">
        <v>717</v>
      </c>
      <c r="F180" t="s">
        <v>718</v>
      </c>
      <c r="G180" t="s">
        <v>719</v>
      </c>
      <c r="H180" t="str">
        <f t="shared" si="2"/>
        <v>singlet</v>
      </c>
      <c r="I180" t="s">
        <v>127</v>
      </c>
    </row>
    <row r="181" spans="1:9" x14ac:dyDescent="0.25">
      <c r="A181" t="s">
        <v>720</v>
      </c>
      <c r="B181">
        <v>-4437.3990552800396</v>
      </c>
      <c r="C181">
        <v>-4437.3355486957498</v>
      </c>
      <c r="D181">
        <v>-4437.2731140452697</v>
      </c>
      <c r="E181" t="s">
        <v>721</v>
      </c>
      <c r="F181" t="s">
        <v>722</v>
      </c>
      <c r="G181" t="s">
        <v>723</v>
      </c>
      <c r="H181" t="str">
        <f t="shared" si="2"/>
        <v>singlet</v>
      </c>
      <c r="I181" t="s">
        <v>228</v>
      </c>
    </row>
    <row r="182" spans="1:9" x14ac:dyDescent="0.25">
      <c r="A182" t="s">
        <v>724</v>
      </c>
      <c r="B182">
        <v>-4476.6528515213704</v>
      </c>
      <c r="C182">
        <v>-4476.59065611187</v>
      </c>
      <c r="D182">
        <v>-4476.5286694605502</v>
      </c>
      <c r="E182" t="s">
        <v>725</v>
      </c>
      <c r="F182" t="s">
        <v>726</v>
      </c>
      <c r="G182" t="s">
        <v>723</v>
      </c>
      <c r="H182" t="str">
        <f t="shared" si="2"/>
        <v>singlet</v>
      </c>
      <c r="I182" t="s">
        <v>228</v>
      </c>
    </row>
    <row r="183" spans="1:9" x14ac:dyDescent="0.25">
      <c r="A183" t="s">
        <v>727</v>
      </c>
      <c r="B183">
        <v>-4476.65373225437</v>
      </c>
      <c r="C183">
        <v>-4476.5918008339604</v>
      </c>
      <c r="D183">
        <v>-4476.5311934703504</v>
      </c>
      <c r="E183" t="s">
        <v>728</v>
      </c>
      <c r="F183" t="s">
        <v>729</v>
      </c>
      <c r="G183" t="s">
        <v>723</v>
      </c>
      <c r="H183" t="str">
        <f t="shared" si="2"/>
        <v>singlet</v>
      </c>
      <c r="I183" t="s">
        <v>228</v>
      </c>
    </row>
    <row r="184" spans="1:9" x14ac:dyDescent="0.25">
      <c r="A184" t="s">
        <v>730</v>
      </c>
      <c r="B184">
        <v>-4537.8500802201497</v>
      </c>
      <c r="C184">
        <v>-4537.7874745128402</v>
      </c>
      <c r="E184" t="s">
        <v>731</v>
      </c>
      <c r="F184" t="s">
        <v>732</v>
      </c>
      <c r="G184" t="s">
        <v>723</v>
      </c>
      <c r="H184" t="str">
        <f t="shared" si="2"/>
        <v/>
      </c>
      <c r="I184" t="s">
        <v>228</v>
      </c>
    </row>
    <row r="185" spans="1:9" x14ac:dyDescent="0.25">
      <c r="A185" t="s">
        <v>733</v>
      </c>
      <c r="B185">
        <v>-4436.1896538434903</v>
      </c>
      <c r="C185">
        <v>-4436.2464744610197</v>
      </c>
      <c r="D185">
        <v>-4436.1846720820304</v>
      </c>
      <c r="E185" t="s">
        <v>734</v>
      </c>
      <c r="F185" t="s">
        <v>735</v>
      </c>
      <c r="G185" t="s">
        <v>723</v>
      </c>
      <c r="H185" t="str">
        <f t="shared" si="2"/>
        <v>triplet</v>
      </c>
      <c r="I185" t="s">
        <v>228</v>
      </c>
    </row>
    <row r="186" spans="1:9" x14ac:dyDescent="0.25">
      <c r="A186" t="s">
        <v>736</v>
      </c>
      <c r="B186">
        <v>-3956.6453210924701</v>
      </c>
      <c r="C186">
        <v>-3956.5828707153501</v>
      </c>
      <c r="D186">
        <v>-3956.5146637725602</v>
      </c>
      <c r="E186" t="s">
        <v>737</v>
      </c>
      <c r="F186" t="s">
        <v>738</v>
      </c>
      <c r="G186" t="s">
        <v>739</v>
      </c>
      <c r="H186" t="str">
        <f t="shared" si="2"/>
        <v>singlet</v>
      </c>
      <c r="I186" t="s">
        <v>740</v>
      </c>
    </row>
    <row r="187" spans="1:9" x14ac:dyDescent="0.25">
      <c r="A187" t="s">
        <v>741</v>
      </c>
      <c r="B187">
        <v>-4165.3202257994499</v>
      </c>
      <c r="C187">
        <v>-4165.2617452422401</v>
      </c>
      <c r="D187">
        <v>-4165.1930234622396</v>
      </c>
      <c r="E187" t="s">
        <v>742</v>
      </c>
      <c r="F187" t="s">
        <v>743</v>
      </c>
      <c r="G187" t="s">
        <v>739</v>
      </c>
      <c r="H187" t="str">
        <f t="shared" si="2"/>
        <v>singlet</v>
      </c>
      <c r="I187" t="s">
        <v>740</v>
      </c>
    </row>
    <row r="188" spans="1:9" x14ac:dyDescent="0.25">
      <c r="A188" t="s">
        <v>744</v>
      </c>
      <c r="B188">
        <v>-4224.1345242561401</v>
      </c>
      <c r="C188">
        <v>-4224.0721525891504</v>
      </c>
      <c r="D188">
        <v>-4224.0037173058499</v>
      </c>
      <c r="E188" t="s">
        <v>745</v>
      </c>
      <c r="F188" t="s">
        <v>746</v>
      </c>
      <c r="G188" t="s">
        <v>739</v>
      </c>
      <c r="H188" t="str">
        <f t="shared" si="2"/>
        <v>singlet</v>
      </c>
      <c r="I188" t="s">
        <v>740</v>
      </c>
    </row>
    <row r="189" spans="1:9" x14ac:dyDescent="0.25">
      <c r="A189" t="s">
        <v>747</v>
      </c>
      <c r="B189">
        <v>-4204.5643176636704</v>
      </c>
      <c r="C189">
        <v>-4204.5066324223699</v>
      </c>
      <c r="E189" t="s">
        <v>748</v>
      </c>
      <c r="F189" t="s">
        <v>749</v>
      </c>
      <c r="G189" t="s">
        <v>739</v>
      </c>
      <c r="H189" t="str">
        <f t="shared" si="2"/>
        <v/>
      </c>
      <c r="I189" t="s">
        <v>740</v>
      </c>
    </row>
    <row r="190" spans="1:9" x14ac:dyDescent="0.25">
      <c r="A190" t="s">
        <v>750</v>
      </c>
      <c r="B190">
        <v>-3737.2507791811199</v>
      </c>
      <c r="E190" t="s">
        <v>751</v>
      </c>
      <c r="F190" t="s">
        <v>752</v>
      </c>
      <c r="G190" t="s">
        <v>753</v>
      </c>
      <c r="H190" t="str">
        <f t="shared" si="2"/>
        <v/>
      </c>
      <c r="I190" t="s">
        <v>19</v>
      </c>
    </row>
    <row r="191" spans="1:9" x14ac:dyDescent="0.25">
      <c r="A191" t="s">
        <v>754</v>
      </c>
      <c r="B191">
        <v>-3428.9021713649699</v>
      </c>
      <c r="C191">
        <v>-3428.8797193003202</v>
      </c>
      <c r="D191">
        <v>-3428.8189451469798</v>
      </c>
      <c r="E191" t="s">
        <v>755</v>
      </c>
      <c r="F191" t="s">
        <v>756</v>
      </c>
      <c r="G191" t="s">
        <v>757</v>
      </c>
      <c r="H191" t="str">
        <f t="shared" si="2"/>
        <v>singlet</v>
      </c>
      <c r="I191" t="s">
        <v>276</v>
      </c>
    </row>
    <row r="192" spans="1:9" x14ac:dyDescent="0.25">
      <c r="A192" t="s">
        <v>758</v>
      </c>
      <c r="C192">
        <v>-4837.0149682647398</v>
      </c>
      <c r="E192" t="s">
        <v>759</v>
      </c>
      <c r="F192" t="s">
        <v>760</v>
      </c>
      <c r="G192" t="s">
        <v>761</v>
      </c>
      <c r="H192" t="str">
        <f t="shared" si="2"/>
        <v/>
      </c>
      <c r="I192" t="s">
        <v>286</v>
      </c>
    </row>
    <row r="193" spans="1:9" x14ac:dyDescent="0.25">
      <c r="A193" t="s">
        <v>762</v>
      </c>
      <c r="B193">
        <v>-4386.3151136258202</v>
      </c>
      <c r="C193">
        <v>-4386.2526313848002</v>
      </c>
      <c r="D193">
        <v>-4386.2309496456101</v>
      </c>
      <c r="E193" t="s">
        <v>763</v>
      </c>
      <c r="F193" t="s">
        <v>764</v>
      </c>
      <c r="G193" t="s">
        <v>765</v>
      </c>
      <c r="H193" t="str">
        <f t="shared" si="2"/>
        <v>singlet</v>
      </c>
      <c r="I193" t="s">
        <v>241</v>
      </c>
    </row>
    <row r="194" spans="1:9" x14ac:dyDescent="0.25">
      <c r="A194" t="s">
        <v>766</v>
      </c>
      <c r="B194">
        <v>-7256.4912615691901</v>
      </c>
      <c r="C194">
        <v>-7256.4329992227904</v>
      </c>
      <c r="D194">
        <v>-7256.3636713262604</v>
      </c>
      <c r="E194" t="s">
        <v>767</v>
      </c>
      <c r="F194" t="s">
        <v>768</v>
      </c>
      <c r="G194" t="s">
        <v>769</v>
      </c>
      <c r="H194" t="str">
        <f t="shared" ref="H194:H257" si="3">IF(OR(B194="", C194="", D194=""), "", INDEX($B$1:$D$1,MATCH(MIN(B194:D194),B194:D194,0)))</f>
        <v>singlet</v>
      </c>
      <c r="I194" t="s">
        <v>770</v>
      </c>
    </row>
    <row r="195" spans="1:9" x14ac:dyDescent="0.25">
      <c r="A195" t="s">
        <v>771</v>
      </c>
      <c r="B195">
        <v>-2546.6931579494299</v>
      </c>
      <c r="C195">
        <v>-2546.6232181406599</v>
      </c>
      <c r="D195">
        <v>-2546.5501530322799</v>
      </c>
      <c r="E195" t="s">
        <v>772</v>
      </c>
      <c r="F195" t="s">
        <v>773</v>
      </c>
      <c r="G195" t="s">
        <v>774</v>
      </c>
      <c r="H195" t="str">
        <f t="shared" si="3"/>
        <v>singlet</v>
      </c>
      <c r="I195" t="s">
        <v>14</v>
      </c>
    </row>
    <row r="196" spans="1:9" x14ac:dyDescent="0.25">
      <c r="A196" t="s">
        <v>775</v>
      </c>
      <c r="B196">
        <v>-4131.0824520030401</v>
      </c>
      <c r="C196">
        <v>-4131.0410898766304</v>
      </c>
      <c r="D196">
        <v>-4130.9721389263404</v>
      </c>
      <c r="E196" t="s">
        <v>776</v>
      </c>
      <c r="F196" t="s">
        <v>777</v>
      </c>
      <c r="G196" t="s">
        <v>778</v>
      </c>
      <c r="H196" t="str">
        <f t="shared" si="3"/>
        <v>singlet</v>
      </c>
      <c r="I196" t="s">
        <v>286</v>
      </c>
    </row>
    <row r="197" spans="1:9" x14ac:dyDescent="0.25">
      <c r="A197" t="s">
        <v>779</v>
      </c>
      <c r="E197" t="s">
        <v>780</v>
      </c>
      <c r="F197" t="s">
        <v>781</v>
      </c>
      <c r="G197" t="s">
        <v>782</v>
      </c>
      <c r="H197" t="str">
        <f t="shared" si="3"/>
        <v/>
      </c>
      <c r="I197" t="s">
        <v>783</v>
      </c>
    </row>
    <row r="198" spans="1:9" x14ac:dyDescent="0.25">
      <c r="A198" t="s">
        <v>784</v>
      </c>
      <c r="B198">
        <v>-5769.80575740308</v>
      </c>
      <c r="C198">
        <v>-5769.7884256852203</v>
      </c>
      <c r="D198">
        <v>-5769.7242939064799</v>
      </c>
      <c r="E198" t="s">
        <v>785</v>
      </c>
      <c r="F198" t="s">
        <v>786</v>
      </c>
      <c r="G198" t="s">
        <v>782</v>
      </c>
      <c r="H198" t="str">
        <f t="shared" si="3"/>
        <v>singlet</v>
      </c>
      <c r="I198" t="s">
        <v>783</v>
      </c>
    </row>
    <row r="199" spans="1:9" x14ac:dyDescent="0.25">
      <c r="A199" t="s">
        <v>787</v>
      </c>
      <c r="B199">
        <v>-2442.21478574296</v>
      </c>
      <c r="C199">
        <v>-2442.1637598901998</v>
      </c>
      <c r="D199">
        <v>-2442.1083209950798</v>
      </c>
      <c r="E199" t="s">
        <v>788</v>
      </c>
      <c r="F199" t="s">
        <v>789</v>
      </c>
      <c r="G199" t="s">
        <v>790</v>
      </c>
      <c r="H199" t="str">
        <f t="shared" si="3"/>
        <v>singlet</v>
      </c>
      <c r="I199" t="s">
        <v>791</v>
      </c>
    </row>
    <row r="200" spans="1:9" x14ac:dyDescent="0.25">
      <c r="A200" t="s">
        <v>792</v>
      </c>
      <c r="B200">
        <v>-2831.6591133904899</v>
      </c>
      <c r="C200">
        <v>-2831.59504391767</v>
      </c>
      <c r="D200">
        <v>-2831.5234404303401</v>
      </c>
      <c r="E200" t="s">
        <v>793</v>
      </c>
      <c r="F200" t="s">
        <v>794</v>
      </c>
      <c r="G200" t="s">
        <v>795</v>
      </c>
      <c r="H200" t="str">
        <f t="shared" si="3"/>
        <v>singlet</v>
      </c>
      <c r="I200" t="s">
        <v>14</v>
      </c>
    </row>
    <row r="201" spans="1:9" x14ac:dyDescent="0.25">
      <c r="A201" t="s">
        <v>796</v>
      </c>
      <c r="B201">
        <v>-4704.12932992886</v>
      </c>
      <c r="C201">
        <v>-4704.06652492789</v>
      </c>
      <c r="D201">
        <v>-4703.9980704618902</v>
      </c>
      <c r="E201" t="s">
        <v>797</v>
      </c>
      <c r="F201" t="s">
        <v>798</v>
      </c>
      <c r="G201" t="s">
        <v>799</v>
      </c>
      <c r="H201" t="str">
        <f t="shared" si="3"/>
        <v>singlet</v>
      </c>
      <c r="I201" t="s">
        <v>228</v>
      </c>
    </row>
    <row r="202" spans="1:9" x14ac:dyDescent="0.25">
      <c r="A202" t="s">
        <v>800</v>
      </c>
      <c r="C202">
        <v>-3651.3434284160398</v>
      </c>
      <c r="D202">
        <v>-3651.3102058839499</v>
      </c>
      <c r="E202" t="s">
        <v>801</v>
      </c>
      <c r="F202" t="s">
        <v>802</v>
      </c>
      <c r="G202" t="s">
        <v>803</v>
      </c>
      <c r="H202" t="str">
        <f t="shared" si="3"/>
        <v/>
      </c>
      <c r="I202" t="s">
        <v>58</v>
      </c>
    </row>
    <row r="203" spans="1:9" x14ac:dyDescent="0.25">
      <c r="A203" t="s">
        <v>804</v>
      </c>
      <c r="B203">
        <v>-2138.3561272950801</v>
      </c>
      <c r="C203">
        <v>-2138.2846692164799</v>
      </c>
      <c r="D203">
        <v>-2138.2118359598799</v>
      </c>
      <c r="E203" t="s">
        <v>805</v>
      </c>
      <c r="F203" t="s">
        <v>806</v>
      </c>
      <c r="G203" t="s">
        <v>807</v>
      </c>
      <c r="H203" t="str">
        <f t="shared" si="3"/>
        <v>singlet</v>
      </c>
      <c r="I203" t="s">
        <v>14</v>
      </c>
    </row>
    <row r="204" spans="1:9" x14ac:dyDescent="0.25">
      <c r="A204" t="s">
        <v>808</v>
      </c>
      <c r="B204">
        <v>-2576.3397256563799</v>
      </c>
      <c r="C204">
        <v>-2576.3523580606402</v>
      </c>
      <c r="D204">
        <v>-2576.2892004392802</v>
      </c>
      <c r="E204" t="s">
        <v>809</v>
      </c>
      <c r="F204" t="s">
        <v>810</v>
      </c>
      <c r="G204" t="s">
        <v>811</v>
      </c>
      <c r="H204" t="str">
        <f t="shared" si="3"/>
        <v>triplet</v>
      </c>
      <c r="I204" t="s">
        <v>14</v>
      </c>
    </row>
    <row r="205" spans="1:9" x14ac:dyDescent="0.25">
      <c r="A205" t="s">
        <v>812</v>
      </c>
      <c r="B205">
        <v>-3061.9906597752401</v>
      </c>
      <c r="C205">
        <v>-3061.9189737715901</v>
      </c>
      <c r="D205">
        <v>-3061.8558286584898</v>
      </c>
      <c r="E205" t="s">
        <v>813</v>
      </c>
      <c r="F205" t="s">
        <v>814</v>
      </c>
      <c r="G205" t="s">
        <v>815</v>
      </c>
      <c r="H205" t="str">
        <f t="shared" si="3"/>
        <v>singlet</v>
      </c>
      <c r="I205" t="s">
        <v>77</v>
      </c>
    </row>
    <row r="206" spans="1:9" x14ac:dyDescent="0.25">
      <c r="A206" t="s">
        <v>816</v>
      </c>
      <c r="B206">
        <v>-4442.19404965796</v>
      </c>
      <c r="C206">
        <v>-4442.1712914381196</v>
      </c>
      <c r="D206">
        <v>-4442.1054855309603</v>
      </c>
      <c r="E206" t="s">
        <v>817</v>
      </c>
      <c r="F206" t="s">
        <v>818</v>
      </c>
      <c r="G206" t="s">
        <v>815</v>
      </c>
      <c r="H206" t="str">
        <f t="shared" si="3"/>
        <v>singlet</v>
      </c>
      <c r="I206" t="s">
        <v>77</v>
      </c>
    </row>
    <row r="207" spans="1:9" x14ac:dyDescent="0.25">
      <c r="A207" t="s">
        <v>819</v>
      </c>
      <c r="B207">
        <v>-14338.4821774101</v>
      </c>
      <c r="C207">
        <v>-14338.457331777399</v>
      </c>
      <c r="D207">
        <v>-14338.391635264299</v>
      </c>
      <c r="E207" t="s">
        <v>820</v>
      </c>
      <c r="F207" t="s">
        <v>821</v>
      </c>
      <c r="G207" t="s">
        <v>815</v>
      </c>
      <c r="H207" t="str">
        <f t="shared" si="3"/>
        <v>singlet</v>
      </c>
      <c r="I207" t="s">
        <v>77</v>
      </c>
    </row>
    <row r="208" spans="1:9" x14ac:dyDescent="0.25">
      <c r="A208" t="s">
        <v>822</v>
      </c>
      <c r="B208">
        <v>-4248.7621575195499</v>
      </c>
      <c r="C208">
        <v>-4248.7439384044801</v>
      </c>
      <c r="D208">
        <v>-4248.6766438333198</v>
      </c>
      <c r="E208" t="s">
        <v>823</v>
      </c>
      <c r="F208" t="s">
        <v>824</v>
      </c>
      <c r="G208" t="s">
        <v>825</v>
      </c>
      <c r="H208" t="str">
        <f t="shared" si="3"/>
        <v>singlet</v>
      </c>
      <c r="I208" t="s">
        <v>127</v>
      </c>
    </row>
    <row r="209" spans="1:9" x14ac:dyDescent="0.25">
      <c r="A209" t="s">
        <v>826</v>
      </c>
      <c r="E209" t="s">
        <v>827</v>
      </c>
      <c r="F209" t="s">
        <v>828</v>
      </c>
      <c r="G209" t="s">
        <v>829</v>
      </c>
      <c r="H209" t="str">
        <f t="shared" si="3"/>
        <v/>
      </c>
      <c r="I209" t="s">
        <v>19</v>
      </c>
    </row>
    <row r="210" spans="1:9" x14ac:dyDescent="0.25">
      <c r="A210" t="s">
        <v>830</v>
      </c>
      <c r="E210" t="s">
        <v>831</v>
      </c>
      <c r="F210" t="s">
        <v>832</v>
      </c>
      <c r="G210" t="s">
        <v>833</v>
      </c>
      <c r="H210" t="str">
        <f t="shared" si="3"/>
        <v/>
      </c>
      <c r="I210" t="s">
        <v>91</v>
      </c>
    </row>
    <row r="211" spans="1:9" x14ac:dyDescent="0.25">
      <c r="A211" t="s">
        <v>834</v>
      </c>
      <c r="E211" t="s">
        <v>835</v>
      </c>
      <c r="F211" t="s">
        <v>836</v>
      </c>
      <c r="G211" t="s">
        <v>833</v>
      </c>
      <c r="H211" t="str">
        <f t="shared" si="3"/>
        <v/>
      </c>
      <c r="I211" t="s">
        <v>91</v>
      </c>
    </row>
    <row r="212" spans="1:9" x14ac:dyDescent="0.25">
      <c r="A212" t="s">
        <v>837</v>
      </c>
      <c r="B212">
        <v>-4720.0813746316899</v>
      </c>
      <c r="C212">
        <v>-4720.0174704934798</v>
      </c>
      <c r="D212">
        <v>-4719.9497160799701</v>
      </c>
      <c r="E212" t="s">
        <v>838</v>
      </c>
      <c r="F212" t="s">
        <v>839</v>
      </c>
      <c r="G212" t="s">
        <v>136</v>
      </c>
      <c r="H212" t="str">
        <f t="shared" si="3"/>
        <v>singlet</v>
      </c>
      <c r="I212" t="s">
        <v>137</v>
      </c>
    </row>
    <row r="213" spans="1:9" x14ac:dyDescent="0.25">
      <c r="A213" t="s">
        <v>840</v>
      </c>
      <c r="B213">
        <v>-4375.9060113127198</v>
      </c>
      <c r="C213">
        <v>-4375.8646473790604</v>
      </c>
      <c r="D213">
        <v>-4375.8026686405501</v>
      </c>
      <c r="E213" t="s">
        <v>841</v>
      </c>
      <c r="F213" t="s">
        <v>842</v>
      </c>
      <c r="G213" t="s">
        <v>843</v>
      </c>
      <c r="H213" t="str">
        <f t="shared" si="3"/>
        <v>singlet</v>
      </c>
      <c r="I213" t="s">
        <v>108</v>
      </c>
    </row>
    <row r="214" spans="1:9" x14ac:dyDescent="0.25">
      <c r="A214" t="s">
        <v>844</v>
      </c>
      <c r="B214">
        <v>-4128.9968371402601</v>
      </c>
      <c r="D214">
        <v>-4128.8775624659602</v>
      </c>
      <c r="E214" t="s">
        <v>845</v>
      </c>
      <c r="F214" t="s">
        <v>846</v>
      </c>
      <c r="G214" t="s">
        <v>847</v>
      </c>
      <c r="H214" t="str">
        <f t="shared" si="3"/>
        <v/>
      </c>
      <c r="I214" t="s">
        <v>113</v>
      </c>
    </row>
    <row r="215" spans="1:9" x14ac:dyDescent="0.25">
      <c r="A215" t="s">
        <v>848</v>
      </c>
      <c r="B215">
        <v>-6509.7737225946103</v>
      </c>
      <c r="C215">
        <v>-6509.71420535568</v>
      </c>
      <c r="D215">
        <v>-6509.6456524987598</v>
      </c>
      <c r="E215" t="s">
        <v>849</v>
      </c>
      <c r="F215" t="s">
        <v>850</v>
      </c>
      <c r="G215" t="s">
        <v>851</v>
      </c>
      <c r="H215" t="str">
        <f t="shared" si="3"/>
        <v>singlet</v>
      </c>
      <c r="I215" t="s">
        <v>19</v>
      </c>
    </row>
    <row r="216" spans="1:9" x14ac:dyDescent="0.25">
      <c r="A216" t="s">
        <v>852</v>
      </c>
      <c r="B216">
        <v>-6509.7751792131603</v>
      </c>
      <c r="C216">
        <v>-6509.7164725432604</v>
      </c>
      <c r="D216">
        <v>-6509.64787675557</v>
      </c>
      <c r="E216" t="s">
        <v>853</v>
      </c>
      <c r="F216" t="s">
        <v>854</v>
      </c>
      <c r="G216" t="s">
        <v>851</v>
      </c>
      <c r="H216" t="str">
        <f t="shared" si="3"/>
        <v>singlet</v>
      </c>
      <c r="I216" t="s">
        <v>19</v>
      </c>
    </row>
    <row r="217" spans="1:9" x14ac:dyDescent="0.25">
      <c r="A217" t="s">
        <v>855</v>
      </c>
      <c r="B217">
        <v>-5355.0670804788997</v>
      </c>
      <c r="C217">
        <v>-5355.0084782572203</v>
      </c>
      <c r="D217">
        <v>-5354.9874301707196</v>
      </c>
      <c r="E217" t="s">
        <v>856</v>
      </c>
      <c r="F217" t="s">
        <v>857</v>
      </c>
      <c r="G217" t="s">
        <v>858</v>
      </c>
      <c r="H217" t="str">
        <f t="shared" si="3"/>
        <v>singlet</v>
      </c>
      <c r="I217" t="s">
        <v>19</v>
      </c>
    </row>
    <row r="218" spans="1:9" x14ac:dyDescent="0.25">
      <c r="A218" t="s">
        <v>859</v>
      </c>
      <c r="B218">
        <v>-2851.1489406268302</v>
      </c>
      <c r="C218">
        <v>-2851.07816008385</v>
      </c>
      <c r="D218">
        <v>-2851.0053700737999</v>
      </c>
      <c r="E218" t="s">
        <v>860</v>
      </c>
      <c r="F218" t="s">
        <v>861</v>
      </c>
      <c r="G218" t="s">
        <v>862</v>
      </c>
      <c r="H218" t="str">
        <f t="shared" si="3"/>
        <v>singlet</v>
      </c>
      <c r="I218" t="s">
        <v>14</v>
      </c>
    </row>
    <row r="219" spans="1:9" x14ac:dyDescent="0.25">
      <c r="A219" t="s">
        <v>863</v>
      </c>
      <c r="E219" t="s">
        <v>864</v>
      </c>
      <c r="F219" t="s">
        <v>865</v>
      </c>
      <c r="G219" t="s">
        <v>866</v>
      </c>
      <c r="H219" t="str">
        <f t="shared" si="3"/>
        <v/>
      </c>
      <c r="I219" t="s">
        <v>286</v>
      </c>
    </row>
    <row r="220" spans="1:9" x14ac:dyDescent="0.25">
      <c r="A220" t="s">
        <v>867</v>
      </c>
      <c r="B220">
        <v>-4262.5805075677199</v>
      </c>
      <c r="C220">
        <v>-4262.5273301444104</v>
      </c>
      <c r="D220">
        <v>-4262.4671617656704</v>
      </c>
      <c r="E220" t="s">
        <v>868</v>
      </c>
      <c r="F220" t="s">
        <v>869</v>
      </c>
      <c r="G220" t="s">
        <v>870</v>
      </c>
      <c r="H220" t="str">
        <f t="shared" si="3"/>
        <v>singlet</v>
      </c>
      <c r="I220" t="s">
        <v>871</v>
      </c>
    </row>
    <row r="221" spans="1:9" x14ac:dyDescent="0.25">
      <c r="A221" t="s">
        <v>872</v>
      </c>
      <c r="B221">
        <v>-4262.5805065505101</v>
      </c>
      <c r="C221">
        <v>-4262.5184718097798</v>
      </c>
      <c r="D221">
        <v>-4262.46716017781</v>
      </c>
      <c r="E221" t="s">
        <v>868</v>
      </c>
      <c r="F221" t="s">
        <v>873</v>
      </c>
      <c r="G221" t="s">
        <v>870</v>
      </c>
      <c r="H221" t="str">
        <f t="shared" si="3"/>
        <v>singlet</v>
      </c>
      <c r="I221" t="s">
        <v>77</v>
      </c>
    </row>
    <row r="222" spans="1:9" x14ac:dyDescent="0.25">
      <c r="A222" t="s">
        <v>874</v>
      </c>
      <c r="B222">
        <v>-3119.2864546085598</v>
      </c>
      <c r="C222">
        <v>-3119.2200623141398</v>
      </c>
      <c r="D222">
        <v>-3119.1471077936499</v>
      </c>
      <c r="E222" t="s">
        <v>875</v>
      </c>
      <c r="F222" t="s">
        <v>876</v>
      </c>
      <c r="G222" t="s">
        <v>877</v>
      </c>
      <c r="H222" t="str">
        <f t="shared" si="3"/>
        <v>singlet</v>
      </c>
      <c r="I222" t="s">
        <v>281</v>
      </c>
    </row>
    <row r="223" spans="1:9" x14ac:dyDescent="0.25">
      <c r="A223" t="s">
        <v>878</v>
      </c>
      <c r="B223">
        <v>-5529.5596228726199</v>
      </c>
      <c r="C223">
        <v>-5529.5391818841099</v>
      </c>
      <c r="D223">
        <v>-5529.4725258455901</v>
      </c>
      <c r="E223" t="s">
        <v>879</v>
      </c>
      <c r="F223" t="s">
        <v>880</v>
      </c>
      <c r="G223" t="s">
        <v>881</v>
      </c>
      <c r="H223" t="str">
        <f t="shared" si="3"/>
        <v>singlet</v>
      </c>
      <c r="I223" t="s">
        <v>427</v>
      </c>
    </row>
    <row r="224" spans="1:9" x14ac:dyDescent="0.25">
      <c r="A224" t="s">
        <v>882</v>
      </c>
      <c r="B224">
        <v>-3440.67071036681</v>
      </c>
      <c r="C224">
        <v>-3440.6500523497398</v>
      </c>
      <c r="D224">
        <v>-3440.5870268755298</v>
      </c>
      <c r="E224" t="s">
        <v>883</v>
      </c>
      <c r="F224" t="s">
        <v>884</v>
      </c>
      <c r="G224" t="s">
        <v>881</v>
      </c>
      <c r="H224" t="str">
        <f t="shared" si="3"/>
        <v>singlet</v>
      </c>
      <c r="I224" t="s">
        <v>427</v>
      </c>
    </row>
    <row r="225" spans="1:9" x14ac:dyDescent="0.25">
      <c r="A225" t="s">
        <v>885</v>
      </c>
      <c r="B225">
        <v>-3127.2020838573899</v>
      </c>
      <c r="C225">
        <v>-3127.1765777453802</v>
      </c>
      <c r="D225">
        <v>-3127.1060633899901</v>
      </c>
      <c r="E225" t="s">
        <v>886</v>
      </c>
      <c r="F225" t="s">
        <v>887</v>
      </c>
      <c r="G225" t="s">
        <v>368</v>
      </c>
      <c r="H225" t="str">
        <f t="shared" si="3"/>
        <v>singlet</v>
      </c>
      <c r="I225" t="s">
        <v>286</v>
      </c>
    </row>
    <row r="226" spans="1:9" x14ac:dyDescent="0.25">
      <c r="A226" t="s">
        <v>888</v>
      </c>
      <c r="B226">
        <v>-3127.2020871753398</v>
      </c>
      <c r="C226">
        <v>-3127.1765821141798</v>
      </c>
      <c r="D226">
        <v>-3127.1060560675601</v>
      </c>
      <c r="E226" t="s">
        <v>889</v>
      </c>
      <c r="F226" t="s">
        <v>890</v>
      </c>
      <c r="G226" t="s">
        <v>891</v>
      </c>
      <c r="H226" t="str">
        <f t="shared" si="3"/>
        <v>singlet</v>
      </c>
      <c r="I226" t="s">
        <v>77</v>
      </c>
    </row>
    <row r="227" spans="1:9" x14ac:dyDescent="0.25">
      <c r="A227" t="s">
        <v>892</v>
      </c>
      <c r="B227">
        <v>-2628.8474263265002</v>
      </c>
      <c r="C227">
        <v>-2628.8075270198401</v>
      </c>
      <c r="D227">
        <v>-2628.7421375946601</v>
      </c>
      <c r="E227" t="s">
        <v>893</v>
      </c>
      <c r="F227" t="s">
        <v>894</v>
      </c>
      <c r="G227" t="s">
        <v>895</v>
      </c>
      <c r="H227" t="str">
        <f t="shared" si="3"/>
        <v>singlet</v>
      </c>
      <c r="I227" t="s">
        <v>77</v>
      </c>
    </row>
    <row r="228" spans="1:9" x14ac:dyDescent="0.25">
      <c r="A228" t="s">
        <v>896</v>
      </c>
      <c r="B228">
        <v>-6666.7305709270104</v>
      </c>
      <c r="C228">
        <v>-6666.6710987528904</v>
      </c>
      <c r="D228">
        <v>-6666.6025472809997</v>
      </c>
      <c r="E228" t="s">
        <v>897</v>
      </c>
      <c r="F228" t="s">
        <v>898</v>
      </c>
      <c r="G228" t="s">
        <v>899</v>
      </c>
      <c r="H228" t="str">
        <f t="shared" si="3"/>
        <v>singlet</v>
      </c>
      <c r="I228" t="s">
        <v>900</v>
      </c>
    </row>
    <row r="229" spans="1:9" x14ac:dyDescent="0.25">
      <c r="A229" t="s">
        <v>901</v>
      </c>
      <c r="B229">
        <v>-4093.4627613791199</v>
      </c>
      <c r="C229">
        <v>-4093.4034644603198</v>
      </c>
      <c r="D229">
        <v>-4093.33490331236</v>
      </c>
      <c r="E229" t="s">
        <v>902</v>
      </c>
      <c r="F229" t="s">
        <v>903</v>
      </c>
      <c r="G229" t="s">
        <v>899</v>
      </c>
      <c r="H229" t="str">
        <f t="shared" si="3"/>
        <v>singlet</v>
      </c>
      <c r="I229" t="s">
        <v>900</v>
      </c>
    </row>
    <row r="230" spans="1:9" x14ac:dyDescent="0.25">
      <c r="A230" t="s">
        <v>904</v>
      </c>
      <c r="B230">
        <v>-4057.13498223426</v>
      </c>
      <c r="C230">
        <v>-4057.0710364075999</v>
      </c>
      <c r="D230">
        <v>-4057.0040541714302</v>
      </c>
      <c r="E230" t="s">
        <v>905</v>
      </c>
      <c r="F230" t="s">
        <v>906</v>
      </c>
      <c r="G230" t="s">
        <v>907</v>
      </c>
      <c r="H230" t="str">
        <f t="shared" si="3"/>
        <v>singlet</v>
      </c>
      <c r="I230" t="s">
        <v>77</v>
      </c>
    </row>
    <row r="231" spans="1:9" x14ac:dyDescent="0.25">
      <c r="A231" t="s">
        <v>908</v>
      </c>
      <c r="B231">
        <v>-3782.354529403</v>
      </c>
      <c r="C231">
        <v>-3782.33833446371</v>
      </c>
      <c r="D231">
        <v>-3782.2720167958</v>
      </c>
      <c r="E231" t="s">
        <v>909</v>
      </c>
      <c r="F231" t="s">
        <v>910</v>
      </c>
      <c r="G231" t="s">
        <v>911</v>
      </c>
      <c r="H231" t="str">
        <f t="shared" si="3"/>
        <v>singlet</v>
      </c>
      <c r="I231" t="s">
        <v>108</v>
      </c>
    </row>
    <row r="232" spans="1:9" x14ac:dyDescent="0.25">
      <c r="A232" t="s">
        <v>912</v>
      </c>
      <c r="B232">
        <v>-4814.2089023153303</v>
      </c>
      <c r="C232">
        <v>-4814.1504020577504</v>
      </c>
      <c r="D232">
        <v>-4814.0826523120904</v>
      </c>
      <c r="E232" t="s">
        <v>913</v>
      </c>
      <c r="F232" t="s">
        <v>914</v>
      </c>
      <c r="G232" t="s">
        <v>915</v>
      </c>
      <c r="H232" t="str">
        <f t="shared" si="3"/>
        <v>singlet</v>
      </c>
      <c r="I232" t="s">
        <v>132</v>
      </c>
    </row>
    <row r="233" spans="1:9" x14ac:dyDescent="0.25">
      <c r="A233" t="s">
        <v>916</v>
      </c>
      <c r="B233">
        <v>-4468.8060722758701</v>
      </c>
      <c r="C233">
        <v>-4468.7472718725503</v>
      </c>
      <c r="D233">
        <v>-4468.6789839261401</v>
      </c>
      <c r="E233" t="s">
        <v>917</v>
      </c>
      <c r="F233" t="s">
        <v>918</v>
      </c>
      <c r="G233" t="s">
        <v>915</v>
      </c>
      <c r="H233" t="str">
        <f t="shared" si="3"/>
        <v>singlet</v>
      </c>
      <c r="I233" t="s">
        <v>132</v>
      </c>
    </row>
    <row r="234" spans="1:9" x14ac:dyDescent="0.25">
      <c r="A234" t="s">
        <v>919</v>
      </c>
      <c r="B234">
        <v>-2881.9379377637101</v>
      </c>
      <c r="C234">
        <v>-2881.8781605671602</v>
      </c>
      <c r="D234">
        <v>-2881.8095654487302</v>
      </c>
      <c r="E234" t="s">
        <v>920</v>
      </c>
      <c r="F234" t="s">
        <v>921</v>
      </c>
      <c r="G234" t="s">
        <v>922</v>
      </c>
      <c r="H234" t="str">
        <f t="shared" si="3"/>
        <v>singlet</v>
      </c>
      <c r="I234" t="s">
        <v>77</v>
      </c>
    </row>
    <row r="235" spans="1:9" x14ac:dyDescent="0.25">
      <c r="A235" t="s">
        <v>923</v>
      </c>
      <c r="B235">
        <v>-2044.6172092412201</v>
      </c>
      <c r="C235">
        <v>-2044.54668374831</v>
      </c>
      <c r="D235">
        <v>-2044.4815282510399</v>
      </c>
      <c r="E235" t="s">
        <v>924</v>
      </c>
      <c r="F235" t="s">
        <v>925</v>
      </c>
      <c r="G235" t="s">
        <v>926</v>
      </c>
      <c r="H235" t="str">
        <f t="shared" si="3"/>
        <v>singlet</v>
      </c>
      <c r="I235" t="s">
        <v>77</v>
      </c>
    </row>
    <row r="236" spans="1:9" x14ac:dyDescent="0.25">
      <c r="A236" t="s">
        <v>927</v>
      </c>
      <c r="B236">
        <v>-4310.4491202252002</v>
      </c>
      <c r="C236">
        <v>-4310.3879078195696</v>
      </c>
      <c r="D236">
        <v>-4310.32032105078</v>
      </c>
      <c r="E236" t="s">
        <v>928</v>
      </c>
      <c r="F236" t="s">
        <v>929</v>
      </c>
      <c r="G236" t="s">
        <v>930</v>
      </c>
      <c r="H236" t="str">
        <f t="shared" si="3"/>
        <v>singlet</v>
      </c>
      <c r="I236" t="s">
        <v>931</v>
      </c>
    </row>
    <row r="237" spans="1:9" x14ac:dyDescent="0.25">
      <c r="A237" t="s">
        <v>932</v>
      </c>
      <c r="B237">
        <v>-3762.0132905897499</v>
      </c>
      <c r="C237">
        <v>-3761.951471631</v>
      </c>
      <c r="D237">
        <v>-3761.8821777689</v>
      </c>
      <c r="E237" t="s">
        <v>933</v>
      </c>
      <c r="F237" t="s">
        <v>934</v>
      </c>
      <c r="G237" t="s">
        <v>930</v>
      </c>
      <c r="H237" t="str">
        <f t="shared" si="3"/>
        <v>singlet</v>
      </c>
      <c r="I237" t="s">
        <v>931</v>
      </c>
    </row>
    <row r="238" spans="1:9" x14ac:dyDescent="0.25">
      <c r="A238" t="s">
        <v>935</v>
      </c>
      <c r="B238">
        <v>-3593.7646665969401</v>
      </c>
      <c r="C238">
        <v>-3593.7062041314498</v>
      </c>
      <c r="D238">
        <v>-3593.6424131314998</v>
      </c>
      <c r="E238" t="s">
        <v>936</v>
      </c>
      <c r="F238" t="s">
        <v>937</v>
      </c>
      <c r="G238" t="s">
        <v>938</v>
      </c>
      <c r="H238" t="str">
        <f t="shared" si="3"/>
        <v>singlet</v>
      </c>
      <c r="I238" t="s">
        <v>127</v>
      </c>
    </row>
    <row r="239" spans="1:9" x14ac:dyDescent="0.25">
      <c r="A239" t="s">
        <v>939</v>
      </c>
      <c r="B239">
        <v>-3973.75796979909</v>
      </c>
      <c r="C239">
        <v>-3973.6946964395001</v>
      </c>
      <c r="D239">
        <v>-3973.6264100293602</v>
      </c>
      <c r="E239" t="s">
        <v>940</v>
      </c>
      <c r="F239" t="s">
        <v>941</v>
      </c>
      <c r="G239" t="s">
        <v>942</v>
      </c>
      <c r="H239" t="str">
        <f t="shared" si="3"/>
        <v>singlet</v>
      </c>
      <c r="I239" t="s">
        <v>137</v>
      </c>
    </row>
    <row r="240" spans="1:9" x14ac:dyDescent="0.25">
      <c r="A240" t="s">
        <v>943</v>
      </c>
      <c r="B240">
        <v>-4352.7204619893701</v>
      </c>
      <c r="C240">
        <v>-4352.6554769037402</v>
      </c>
      <c r="D240">
        <v>-4352.5875511556396</v>
      </c>
      <c r="E240" t="s">
        <v>944</v>
      </c>
      <c r="F240" t="s">
        <v>945</v>
      </c>
      <c r="G240" t="s">
        <v>942</v>
      </c>
      <c r="H240" t="str">
        <f t="shared" si="3"/>
        <v>singlet</v>
      </c>
      <c r="I240" t="s">
        <v>137</v>
      </c>
    </row>
    <row r="241" spans="1:9" x14ac:dyDescent="0.25">
      <c r="A241" t="s">
        <v>946</v>
      </c>
      <c r="B241">
        <v>-3823.4286698393898</v>
      </c>
      <c r="C241">
        <v>-3823.3684897117</v>
      </c>
      <c r="D241">
        <v>-3823.2996684547802</v>
      </c>
      <c r="E241" t="s">
        <v>947</v>
      </c>
      <c r="F241" t="s">
        <v>948</v>
      </c>
      <c r="G241" t="s">
        <v>949</v>
      </c>
      <c r="H241" t="str">
        <f t="shared" si="3"/>
        <v>singlet</v>
      </c>
      <c r="I241" t="s">
        <v>161</v>
      </c>
    </row>
    <row r="242" spans="1:9" x14ac:dyDescent="0.25">
      <c r="A242" t="s">
        <v>950</v>
      </c>
      <c r="B242">
        <v>-2661.2961895108301</v>
      </c>
      <c r="C242">
        <v>-2661.2422984954801</v>
      </c>
      <c r="D242">
        <v>-2661.17603725044</v>
      </c>
      <c r="E242" t="s">
        <v>951</v>
      </c>
      <c r="F242" t="s">
        <v>952</v>
      </c>
      <c r="G242" t="s">
        <v>953</v>
      </c>
      <c r="H242" t="str">
        <f t="shared" si="3"/>
        <v>singlet</v>
      </c>
      <c r="I242" t="s">
        <v>77</v>
      </c>
    </row>
    <row r="243" spans="1:9" x14ac:dyDescent="0.25">
      <c r="A243" t="s">
        <v>954</v>
      </c>
      <c r="B243">
        <v>-4429.42710864329</v>
      </c>
      <c r="C243">
        <v>-4429.3686327247897</v>
      </c>
      <c r="D243">
        <v>-4429.3000451280795</v>
      </c>
      <c r="E243" t="s">
        <v>955</v>
      </c>
      <c r="F243" t="s">
        <v>956</v>
      </c>
      <c r="G243" t="s">
        <v>957</v>
      </c>
      <c r="H243" t="str">
        <f t="shared" si="3"/>
        <v>singlet</v>
      </c>
      <c r="I243" t="s">
        <v>77</v>
      </c>
    </row>
    <row r="244" spans="1:9" x14ac:dyDescent="0.25">
      <c r="A244" t="s">
        <v>958</v>
      </c>
      <c r="E244" t="s">
        <v>959</v>
      </c>
      <c r="F244" t="s">
        <v>960</v>
      </c>
      <c r="G244" t="s">
        <v>961</v>
      </c>
      <c r="H244" t="str">
        <f t="shared" si="3"/>
        <v/>
      </c>
      <c r="I244" t="s">
        <v>113</v>
      </c>
    </row>
    <row r="245" spans="1:9" x14ac:dyDescent="0.25">
      <c r="A245" t="s">
        <v>962</v>
      </c>
      <c r="B245">
        <v>-3300.1406191246701</v>
      </c>
      <c r="C245">
        <v>-3300.0791713193998</v>
      </c>
      <c r="D245">
        <v>-3300.0553510688401</v>
      </c>
      <c r="E245" t="s">
        <v>963</v>
      </c>
      <c r="F245" t="s">
        <v>964</v>
      </c>
      <c r="G245" t="s">
        <v>965</v>
      </c>
      <c r="H245" t="str">
        <f t="shared" si="3"/>
        <v>singlet</v>
      </c>
      <c r="I245" t="s">
        <v>931</v>
      </c>
    </row>
    <row r="246" spans="1:9" x14ac:dyDescent="0.25">
      <c r="A246" t="s">
        <v>966</v>
      </c>
      <c r="B246">
        <v>-3761.1956699167699</v>
      </c>
      <c r="C246">
        <v>-3761.1472200754201</v>
      </c>
      <c r="D246">
        <v>-3761.0715449312702</v>
      </c>
      <c r="E246" t="s">
        <v>967</v>
      </c>
      <c r="F246" t="s">
        <v>968</v>
      </c>
      <c r="G246" t="s">
        <v>965</v>
      </c>
      <c r="H246" t="str">
        <f t="shared" si="3"/>
        <v>singlet</v>
      </c>
      <c r="I246" t="s">
        <v>931</v>
      </c>
    </row>
    <row r="247" spans="1:9" x14ac:dyDescent="0.25">
      <c r="A247" t="s">
        <v>969</v>
      </c>
      <c r="B247">
        <v>-4336.2032209763702</v>
      </c>
      <c r="C247">
        <v>-4336.1437777622004</v>
      </c>
      <c r="D247">
        <v>-4336.0758107908196</v>
      </c>
      <c r="E247" t="s">
        <v>970</v>
      </c>
      <c r="F247" t="s">
        <v>971</v>
      </c>
      <c r="G247" t="s">
        <v>972</v>
      </c>
      <c r="H247" t="str">
        <f t="shared" si="3"/>
        <v>singlet</v>
      </c>
      <c r="I247" t="s">
        <v>9</v>
      </c>
    </row>
    <row r="248" spans="1:9" x14ac:dyDescent="0.25">
      <c r="A248" t="s">
        <v>973</v>
      </c>
      <c r="B248">
        <v>-6091.0861060015404</v>
      </c>
      <c r="C248">
        <v>-6091.0263599094696</v>
      </c>
      <c r="D248">
        <v>-6090.9583070211802</v>
      </c>
      <c r="E248" t="s">
        <v>974</v>
      </c>
      <c r="F248" t="s">
        <v>975</v>
      </c>
      <c r="G248" t="s">
        <v>976</v>
      </c>
      <c r="H248" t="str">
        <f t="shared" si="3"/>
        <v>singlet</v>
      </c>
      <c r="I248" t="s">
        <v>14</v>
      </c>
    </row>
    <row r="249" spans="1:9" x14ac:dyDescent="0.25">
      <c r="A249" t="s">
        <v>977</v>
      </c>
      <c r="B249">
        <v>-3436.8301914049398</v>
      </c>
      <c r="D249">
        <v>-3436.7375393367502</v>
      </c>
      <c r="E249" t="s">
        <v>978</v>
      </c>
      <c r="F249" t="s">
        <v>485</v>
      </c>
      <c r="H249" t="str">
        <f t="shared" si="3"/>
        <v/>
      </c>
    </row>
    <row r="250" spans="1:9" x14ac:dyDescent="0.25">
      <c r="A250" t="s">
        <v>979</v>
      </c>
      <c r="B250">
        <v>-3111.5015195066198</v>
      </c>
      <c r="C250">
        <v>-3111.4814969078402</v>
      </c>
      <c r="D250">
        <v>-3111.4098169055501</v>
      </c>
      <c r="E250" t="s">
        <v>980</v>
      </c>
      <c r="F250" t="s">
        <v>981</v>
      </c>
      <c r="G250" t="s">
        <v>982</v>
      </c>
      <c r="H250" t="str">
        <f t="shared" si="3"/>
        <v>singlet</v>
      </c>
      <c r="I250" t="s">
        <v>63</v>
      </c>
    </row>
    <row r="251" spans="1:9" x14ac:dyDescent="0.25">
      <c r="A251" t="s">
        <v>983</v>
      </c>
      <c r="B251">
        <v>-5376.0939745834703</v>
      </c>
      <c r="C251">
        <v>-5376.0347481251101</v>
      </c>
      <c r="D251">
        <v>-5375.9656721433103</v>
      </c>
      <c r="E251" t="s">
        <v>984</v>
      </c>
      <c r="F251" t="s">
        <v>985</v>
      </c>
      <c r="G251" t="s">
        <v>311</v>
      </c>
      <c r="H251" t="str">
        <f t="shared" si="3"/>
        <v>singlet</v>
      </c>
      <c r="I251" t="s">
        <v>137</v>
      </c>
    </row>
    <row r="252" spans="1:9" x14ac:dyDescent="0.25">
      <c r="A252" t="s">
        <v>986</v>
      </c>
      <c r="B252">
        <v>-3977.9669228621201</v>
      </c>
      <c r="C252">
        <v>-3977.9819714258601</v>
      </c>
      <c r="D252">
        <v>-3978.0115275655398</v>
      </c>
      <c r="E252" t="s">
        <v>987</v>
      </c>
      <c r="F252" t="s">
        <v>988</v>
      </c>
      <c r="G252" t="s">
        <v>989</v>
      </c>
      <c r="H252" t="str">
        <f t="shared" si="3"/>
        <v>quintet</v>
      </c>
      <c r="I252" t="s">
        <v>990</v>
      </c>
    </row>
    <row r="253" spans="1:9" x14ac:dyDescent="0.25">
      <c r="A253" t="s">
        <v>991</v>
      </c>
      <c r="B253">
        <v>-3717.0407634502599</v>
      </c>
      <c r="C253">
        <v>-3716.9820695897602</v>
      </c>
      <c r="D253">
        <v>-3716.9102942029399</v>
      </c>
      <c r="E253" t="s">
        <v>992</v>
      </c>
      <c r="F253" t="s">
        <v>993</v>
      </c>
      <c r="G253" t="s">
        <v>994</v>
      </c>
      <c r="H253" t="str">
        <f t="shared" si="3"/>
        <v>singlet</v>
      </c>
      <c r="I253" t="s">
        <v>286</v>
      </c>
    </row>
    <row r="254" spans="1:9" x14ac:dyDescent="0.25">
      <c r="A254" t="s">
        <v>995</v>
      </c>
      <c r="B254">
        <v>-3805.0387638769498</v>
      </c>
      <c r="C254">
        <v>-3805.0161868340401</v>
      </c>
      <c r="D254">
        <v>-3804.9494197559002</v>
      </c>
      <c r="E254" t="s">
        <v>996</v>
      </c>
      <c r="F254" t="s">
        <v>997</v>
      </c>
      <c r="G254" t="s">
        <v>998</v>
      </c>
      <c r="H254" t="str">
        <f t="shared" si="3"/>
        <v>singlet</v>
      </c>
      <c r="I254" t="s">
        <v>72</v>
      </c>
    </row>
    <row r="255" spans="1:9" x14ac:dyDescent="0.25">
      <c r="A255" t="s">
        <v>999</v>
      </c>
      <c r="B255">
        <v>-5175.7814791225701</v>
      </c>
      <c r="C255">
        <v>-5175.7240863174902</v>
      </c>
      <c r="D255">
        <v>-5175.65489707294</v>
      </c>
      <c r="E255" t="s">
        <v>1000</v>
      </c>
      <c r="F255" t="s">
        <v>1001</v>
      </c>
      <c r="G255" t="s">
        <v>1002</v>
      </c>
      <c r="H255" t="str">
        <f t="shared" si="3"/>
        <v>singlet</v>
      </c>
      <c r="I255" t="s">
        <v>1003</v>
      </c>
    </row>
    <row r="256" spans="1:9" x14ac:dyDescent="0.25">
      <c r="A256" t="s">
        <v>1004</v>
      </c>
      <c r="B256">
        <v>-5961.6063608116201</v>
      </c>
      <c r="C256">
        <v>-5961.5844486203296</v>
      </c>
      <c r="D256">
        <v>-5961.5241713384803</v>
      </c>
      <c r="E256" t="s">
        <v>1005</v>
      </c>
      <c r="F256" t="s">
        <v>1006</v>
      </c>
      <c r="G256" t="s">
        <v>1007</v>
      </c>
      <c r="H256" t="str">
        <f t="shared" si="3"/>
        <v>singlet</v>
      </c>
      <c r="I256" t="s">
        <v>77</v>
      </c>
    </row>
    <row r="257" spans="1:10" x14ac:dyDescent="0.25">
      <c r="A257" t="s">
        <v>1008</v>
      </c>
      <c r="B257">
        <v>-2611.0725366397101</v>
      </c>
      <c r="C257">
        <v>-2611.0069449964299</v>
      </c>
      <c r="D257">
        <v>-2610.9580979357802</v>
      </c>
      <c r="E257" t="s">
        <v>1009</v>
      </c>
      <c r="F257" t="s">
        <v>1010</v>
      </c>
      <c r="G257" t="s">
        <v>1011</v>
      </c>
      <c r="H257" t="str">
        <f t="shared" si="3"/>
        <v>singlet</v>
      </c>
      <c r="I257" t="s">
        <v>58</v>
      </c>
    </row>
    <row r="258" spans="1:10" x14ac:dyDescent="0.25">
      <c r="A258" t="s">
        <v>1012</v>
      </c>
      <c r="B258">
        <v>-3145.8255352030701</v>
      </c>
      <c r="C258">
        <v>-3145.7661320034399</v>
      </c>
      <c r="D258">
        <v>-3145.7422523709602</v>
      </c>
      <c r="E258" t="s">
        <v>1013</v>
      </c>
      <c r="F258" t="s">
        <v>1014</v>
      </c>
      <c r="G258" t="s">
        <v>1015</v>
      </c>
      <c r="H258" t="str">
        <f t="shared" ref="H258:H321" si="4">IF(OR(B258="", C258="", D258=""), "", INDEX($B$1:$D$1,MATCH(MIN(B258:D258),B258:D258,0)))</f>
        <v>singlet</v>
      </c>
      <c r="I258" t="s">
        <v>1016</v>
      </c>
    </row>
    <row r="259" spans="1:10" x14ac:dyDescent="0.25">
      <c r="A259" t="s">
        <v>1017</v>
      </c>
      <c r="B259">
        <v>-3459.74300705926</v>
      </c>
      <c r="C259">
        <v>-3459.71793988938</v>
      </c>
      <c r="D259">
        <v>-3459.6576854091199</v>
      </c>
      <c r="E259" t="s">
        <v>1018</v>
      </c>
      <c r="F259" t="s">
        <v>1019</v>
      </c>
      <c r="G259" t="s">
        <v>1015</v>
      </c>
      <c r="H259" t="str">
        <f t="shared" si="4"/>
        <v>singlet</v>
      </c>
      <c r="I259" t="s">
        <v>1016</v>
      </c>
    </row>
    <row r="260" spans="1:10" x14ac:dyDescent="0.25">
      <c r="A260" t="s">
        <v>1020</v>
      </c>
      <c r="B260">
        <v>-2526.8275511349998</v>
      </c>
      <c r="C260">
        <v>-2526.7545895527601</v>
      </c>
      <c r="D260">
        <v>-2526.6902562171699</v>
      </c>
      <c r="E260" t="s">
        <v>1021</v>
      </c>
      <c r="F260" t="s">
        <v>1022</v>
      </c>
      <c r="G260" t="s">
        <v>1023</v>
      </c>
      <c r="H260" t="str">
        <f t="shared" si="4"/>
        <v>singlet</v>
      </c>
      <c r="I260" t="s">
        <v>77</v>
      </c>
    </row>
    <row r="261" spans="1:10" x14ac:dyDescent="0.25">
      <c r="A261" t="s">
        <v>1024</v>
      </c>
      <c r="B261">
        <v>-3507.4994168405301</v>
      </c>
      <c r="C261">
        <v>-3507.4756907691799</v>
      </c>
      <c r="D261">
        <v>-3507.4058359307101</v>
      </c>
      <c r="E261" t="s">
        <v>1025</v>
      </c>
      <c r="F261" t="s">
        <v>1026</v>
      </c>
      <c r="G261" t="s">
        <v>1027</v>
      </c>
      <c r="H261" t="str">
        <f t="shared" si="4"/>
        <v>singlet</v>
      </c>
      <c r="I261" t="s">
        <v>19</v>
      </c>
    </row>
    <row r="262" spans="1:10" x14ac:dyDescent="0.25">
      <c r="A262" t="s">
        <v>1028</v>
      </c>
      <c r="B262">
        <v>-3353.54372819317</v>
      </c>
      <c r="C262">
        <v>-3353.5234347612</v>
      </c>
      <c r="D262">
        <v>-3353.4539614698501</v>
      </c>
      <c r="E262" t="s">
        <v>1029</v>
      </c>
      <c r="F262" t="s">
        <v>1030</v>
      </c>
      <c r="G262" t="s">
        <v>1027</v>
      </c>
      <c r="H262" t="str">
        <f t="shared" si="4"/>
        <v>singlet</v>
      </c>
      <c r="I262" t="s">
        <v>19</v>
      </c>
    </row>
    <row r="263" spans="1:10" x14ac:dyDescent="0.25">
      <c r="A263" t="s">
        <v>1031</v>
      </c>
      <c r="B263">
        <v>-3582.3575819647799</v>
      </c>
      <c r="C263">
        <v>-3582.3362317464798</v>
      </c>
      <c r="D263">
        <v>-3582.2668986162898</v>
      </c>
      <c r="E263" t="s">
        <v>1032</v>
      </c>
      <c r="F263" t="s">
        <v>1033</v>
      </c>
      <c r="G263" t="s">
        <v>1027</v>
      </c>
      <c r="H263" t="str">
        <f t="shared" si="4"/>
        <v>singlet</v>
      </c>
      <c r="I263" t="s">
        <v>19</v>
      </c>
    </row>
    <row r="264" spans="1:10" x14ac:dyDescent="0.25">
      <c r="A264" t="s">
        <v>1034</v>
      </c>
      <c r="B264">
        <v>-4494.4908301346604</v>
      </c>
      <c r="C264">
        <v>-4494.4320590013103</v>
      </c>
      <c r="D264">
        <v>-4494.3635702621596</v>
      </c>
      <c r="E264" t="s">
        <v>1035</v>
      </c>
      <c r="F264" t="s">
        <v>1036</v>
      </c>
      <c r="G264" t="s">
        <v>1037</v>
      </c>
      <c r="H264" t="str">
        <f t="shared" si="4"/>
        <v>singlet</v>
      </c>
      <c r="I264" t="s">
        <v>414</v>
      </c>
    </row>
    <row r="265" spans="1:10" x14ac:dyDescent="0.25">
      <c r="A265" t="s">
        <v>1038</v>
      </c>
      <c r="B265">
        <v>-4393.8689246740996</v>
      </c>
      <c r="C265">
        <v>-4393.9078805973804</v>
      </c>
      <c r="D265">
        <v>-4393.9325861392699</v>
      </c>
      <c r="E265" t="s">
        <v>1039</v>
      </c>
      <c r="F265" t="s">
        <v>1040</v>
      </c>
      <c r="G265" t="s">
        <v>1041</v>
      </c>
      <c r="H265" t="str">
        <f t="shared" si="4"/>
        <v>quintet</v>
      </c>
      <c r="I265" t="s">
        <v>127</v>
      </c>
      <c r="J265" t="s">
        <v>1475</v>
      </c>
    </row>
    <row r="266" spans="1:10" x14ac:dyDescent="0.25">
      <c r="A266" t="s">
        <v>1042</v>
      </c>
      <c r="B266">
        <v>-8202.2153459176407</v>
      </c>
      <c r="C266">
        <v>-8202.2593928148199</v>
      </c>
      <c r="D266">
        <v>-8202.2774167869902</v>
      </c>
      <c r="E266" t="s">
        <v>1043</v>
      </c>
      <c r="F266" t="s">
        <v>1044</v>
      </c>
      <c r="G266" t="s">
        <v>1041</v>
      </c>
      <c r="H266" t="str">
        <f t="shared" si="4"/>
        <v>quintet</v>
      </c>
      <c r="I266" t="s">
        <v>127</v>
      </c>
      <c r="J266" t="s">
        <v>1480</v>
      </c>
    </row>
    <row r="267" spans="1:10" x14ac:dyDescent="0.25">
      <c r="A267" t="s">
        <v>1045</v>
      </c>
      <c r="B267">
        <v>-6507.6732994486501</v>
      </c>
      <c r="C267">
        <v>-6507.7113203938197</v>
      </c>
      <c r="D267">
        <v>-6507.7362637995202</v>
      </c>
      <c r="E267" t="s">
        <v>1046</v>
      </c>
      <c r="F267" t="s">
        <v>1047</v>
      </c>
      <c r="G267" t="s">
        <v>1041</v>
      </c>
      <c r="H267" t="str">
        <f t="shared" si="4"/>
        <v>quintet</v>
      </c>
      <c r="I267" t="s">
        <v>127</v>
      </c>
      <c r="J267" t="s">
        <v>1484</v>
      </c>
    </row>
    <row r="268" spans="1:10" x14ac:dyDescent="0.25">
      <c r="A268" t="s">
        <v>1048</v>
      </c>
      <c r="B268">
        <v>-4231.5712421308199</v>
      </c>
      <c r="C268">
        <v>-4231.5858086583403</v>
      </c>
      <c r="D268">
        <v>-4231.61302975536</v>
      </c>
      <c r="E268" t="s">
        <v>1049</v>
      </c>
      <c r="F268" t="s">
        <v>1050</v>
      </c>
      <c r="G268" t="s">
        <v>1041</v>
      </c>
      <c r="H268" t="str">
        <f t="shared" si="4"/>
        <v>quintet</v>
      </c>
      <c r="I268" t="s">
        <v>127</v>
      </c>
      <c r="J268" t="s">
        <v>1485</v>
      </c>
    </row>
    <row r="269" spans="1:10" x14ac:dyDescent="0.25">
      <c r="A269" t="s">
        <v>1051</v>
      </c>
      <c r="B269">
        <v>-3357.9977035740599</v>
      </c>
      <c r="C269">
        <v>-3358.0136605633202</v>
      </c>
      <c r="D269">
        <v>-3358.0436740943001</v>
      </c>
      <c r="E269" t="s">
        <v>1052</v>
      </c>
      <c r="F269" t="s">
        <v>1053</v>
      </c>
      <c r="G269" t="s">
        <v>1041</v>
      </c>
      <c r="H269" t="str">
        <f t="shared" si="4"/>
        <v>quintet</v>
      </c>
      <c r="I269" t="s">
        <v>127</v>
      </c>
    </row>
    <row r="270" spans="1:10" x14ac:dyDescent="0.25">
      <c r="A270" t="s">
        <v>1054</v>
      </c>
      <c r="B270">
        <v>-6636.9196108563801</v>
      </c>
      <c r="C270">
        <v>-6636.8557270602296</v>
      </c>
      <c r="D270">
        <v>-6636.7929507939298</v>
      </c>
      <c r="E270" t="s">
        <v>1055</v>
      </c>
      <c r="F270" t="s">
        <v>1056</v>
      </c>
      <c r="G270" t="s">
        <v>1057</v>
      </c>
      <c r="H270" t="str">
        <f t="shared" si="4"/>
        <v>singlet</v>
      </c>
      <c r="I270" t="s">
        <v>77</v>
      </c>
    </row>
    <row r="271" spans="1:10" x14ac:dyDescent="0.25">
      <c r="A271" t="s">
        <v>1058</v>
      </c>
      <c r="B271">
        <v>-3395.4821721981398</v>
      </c>
      <c r="C271">
        <v>-3395.5161629170898</v>
      </c>
      <c r="D271">
        <v>-3395.4542010149898</v>
      </c>
      <c r="E271" t="s">
        <v>1059</v>
      </c>
      <c r="F271" t="s">
        <v>1060</v>
      </c>
      <c r="G271" t="s">
        <v>1061</v>
      </c>
      <c r="H271" t="str">
        <f t="shared" si="4"/>
        <v>triplet</v>
      </c>
      <c r="I271" t="s">
        <v>19</v>
      </c>
    </row>
    <row r="272" spans="1:10" x14ac:dyDescent="0.25">
      <c r="A272" t="s">
        <v>1062</v>
      </c>
      <c r="B272">
        <v>-3936.8199141923201</v>
      </c>
      <c r="C272">
        <v>-3936.7600584276602</v>
      </c>
      <c r="D272">
        <v>-3936.6917007902498</v>
      </c>
      <c r="E272" t="s">
        <v>1063</v>
      </c>
      <c r="F272" t="s">
        <v>1064</v>
      </c>
      <c r="G272" t="s">
        <v>1065</v>
      </c>
      <c r="H272" t="str">
        <f t="shared" si="4"/>
        <v>singlet</v>
      </c>
      <c r="I272" t="s">
        <v>53</v>
      </c>
    </row>
    <row r="273" spans="1:9" x14ac:dyDescent="0.25">
      <c r="A273" t="s">
        <v>1066</v>
      </c>
      <c r="B273">
        <v>-3936.8199031148101</v>
      </c>
      <c r="C273">
        <v>-3936.7600481331001</v>
      </c>
      <c r="D273">
        <v>-3936.6916887053299</v>
      </c>
      <c r="E273" t="s">
        <v>1067</v>
      </c>
      <c r="F273" t="s">
        <v>1068</v>
      </c>
      <c r="G273" t="s">
        <v>1069</v>
      </c>
      <c r="H273" t="str">
        <f t="shared" si="4"/>
        <v>singlet</v>
      </c>
      <c r="I273" t="s">
        <v>1070</v>
      </c>
    </row>
    <row r="274" spans="1:9" x14ac:dyDescent="0.25">
      <c r="A274" t="s">
        <v>1071</v>
      </c>
      <c r="B274">
        <v>-3936.8199113160199</v>
      </c>
      <c r="C274">
        <v>-3936.7600579432601</v>
      </c>
      <c r="D274">
        <v>-3936.6917046829899</v>
      </c>
      <c r="E274" t="s">
        <v>1072</v>
      </c>
      <c r="F274" t="s">
        <v>1073</v>
      </c>
      <c r="G274" t="s">
        <v>1074</v>
      </c>
      <c r="H274" t="str">
        <f t="shared" si="4"/>
        <v>singlet</v>
      </c>
      <c r="I274" t="s">
        <v>58</v>
      </c>
    </row>
    <row r="275" spans="1:9" x14ac:dyDescent="0.25">
      <c r="A275" t="s">
        <v>1075</v>
      </c>
      <c r="B275">
        <v>-3267.1634931930098</v>
      </c>
      <c r="C275">
        <v>-3267.0938060016601</v>
      </c>
      <c r="D275">
        <v>-3267.02297429495</v>
      </c>
      <c r="E275" t="s">
        <v>1076</v>
      </c>
      <c r="F275" t="s">
        <v>1077</v>
      </c>
      <c r="G275" t="s">
        <v>1078</v>
      </c>
      <c r="H275" t="str">
        <f t="shared" si="4"/>
        <v>singlet</v>
      </c>
      <c r="I275" t="s">
        <v>72</v>
      </c>
    </row>
    <row r="276" spans="1:9" x14ac:dyDescent="0.25">
      <c r="A276" t="s">
        <v>1079</v>
      </c>
      <c r="B276">
        <v>-2380.4087021138798</v>
      </c>
      <c r="C276">
        <v>-2380.3530494480601</v>
      </c>
      <c r="D276">
        <v>-2380.2843927444801</v>
      </c>
      <c r="E276" t="s">
        <v>1080</v>
      </c>
      <c r="F276" t="s">
        <v>1081</v>
      </c>
      <c r="G276" t="s">
        <v>1082</v>
      </c>
      <c r="H276" t="str">
        <f t="shared" si="4"/>
        <v>singlet</v>
      </c>
      <c r="I276" t="s">
        <v>1083</v>
      </c>
    </row>
    <row r="277" spans="1:9" x14ac:dyDescent="0.25">
      <c r="A277" t="s">
        <v>1084</v>
      </c>
      <c r="B277">
        <v>-2053.4380609136701</v>
      </c>
      <c r="C277">
        <v>-2053.3695448418298</v>
      </c>
      <c r="D277">
        <v>-2053.2979831907401</v>
      </c>
      <c r="E277" t="s">
        <v>1085</v>
      </c>
      <c r="F277" t="s">
        <v>1086</v>
      </c>
      <c r="G277" t="s">
        <v>1087</v>
      </c>
      <c r="H277" t="str">
        <f t="shared" si="4"/>
        <v>singlet</v>
      </c>
      <c r="I277" t="s">
        <v>77</v>
      </c>
    </row>
    <row r="278" spans="1:9" x14ac:dyDescent="0.25">
      <c r="A278" t="s">
        <v>1088</v>
      </c>
      <c r="B278">
        <v>-2565.7342520864199</v>
      </c>
      <c r="C278">
        <v>-2565.6457148610798</v>
      </c>
      <c r="D278">
        <v>-2565.5842035341798</v>
      </c>
      <c r="E278" t="s">
        <v>1089</v>
      </c>
      <c r="F278" t="s">
        <v>1090</v>
      </c>
      <c r="G278" t="s">
        <v>1091</v>
      </c>
      <c r="H278" t="str">
        <f t="shared" si="4"/>
        <v>singlet</v>
      </c>
      <c r="I278" t="s">
        <v>1092</v>
      </c>
    </row>
    <row r="279" spans="1:9" x14ac:dyDescent="0.25">
      <c r="A279" t="s">
        <v>1093</v>
      </c>
      <c r="B279">
        <v>-4120.5889826723796</v>
      </c>
      <c r="D279">
        <v>-4120.50078543567</v>
      </c>
      <c r="E279" t="s">
        <v>1094</v>
      </c>
      <c r="F279" t="s">
        <v>1095</v>
      </c>
      <c r="G279" t="s">
        <v>1096</v>
      </c>
      <c r="H279" t="str">
        <f t="shared" si="4"/>
        <v/>
      </c>
      <c r="I279" t="s">
        <v>931</v>
      </c>
    </row>
    <row r="280" spans="1:9" x14ac:dyDescent="0.25">
      <c r="A280" t="s">
        <v>1097</v>
      </c>
      <c r="B280">
        <v>-3833.24231866739</v>
      </c>
      <c r="C280">
        <v>-3833.1797096339901</v>
      </c>
      <c r="D280">
        <v>-3833.1546727868599</v>
      </c>
      <c r="E280" t="s">
        <v>1098</v>
      </c>
      <c r="F280" t="s">
        <v>1099</v>
      </c>
      <c r="G280" t="s">
        <v>1096</v>
      </c>
      <c r="H280" t="str">
        <f t="shared" si="4"/>
        <v>singlet</v>
      </c>
      <c r="I280" t="s">
        <v>931</v>
      </c>
    </row>
    <row r="281" spans="1:9" x14ac:dyDescent="0.25">
      <c r="A281" t="s">
        <v>1100</v>
      </c>
      <c r="B281">
        <v>-3584.1659696844599</v>
      </c>
      <c r="C281">
        <v>-3584.1456299700699</v>
      </c>
      <c r="D281">
        <v>-3584.0770267020198</v>
      </c>
      <c r="E281" t="s">
        <v>1101</v>
      </c>
      <c r="F281" t="s">
        <v>1102</v>
      </c>
      <c r="G281" t="s">
        <v>1096</v>
      </c>
      <c r="H281" t="str">
        <f t="shared" si="4"/>
        <v>singlet</v>
      </c>
      <c r="I281" t="s">
        <v>931</v>
      </c>
    </row>
    <row r="282" spans="1:9" x14ac:dyDescent="0.25">
      <c r="A282" t="s">
        <v>1103</v>
      </c>
      <c r="B282">
        <v>-3271.7122961496698</v>
      </c>
      <c r="C282">
        <v>-3271.69017449886</v>
      </c>
      <c r="D282">
        <v>-3271.62851261885</v>
      </c>
      <c r="E282" t="s">
        <v>1104</v>
      </c>
      <c r="F282" t="s">
        <v>1105</v>
      </c>
      <c r="G282" t="s">
        <v>1106</v>
      </c>
      <c r="H282" t="str">
        <f t="shared" si="4"/>
        <v>singlet</v>
      </c>
      <c r="I282" t="s">
        <v>170</v>
      </c>
    </row>
    <row r="283" spans="1:9" x14ac:dyDescent="0.25">
      <c r="A283" t="s">
        <v>1107</v>
      </c>
      <c r="E283" t="s">
        <v>1108</v>
      </c>
      <c r="F283" t="s">
        <v>1109</v>
      </c>
      <c r="G283" t="s">
        <v>1110</v>
      </c>
      <c r="H283" t="str">
        <f t="shared" si="4"/>
        <v/>
      </c>
      <c r="I283" t="s">
        <v>161</v>
      </c>
    </row>
    <row r="284" spans="1:9" x14ac:dyDescent="0.25">
      <c r="A284" t="s">
        <v>1111</v>
      </c>
      <c r="B284">
        <v>-2070.9278461262202</v>
      </c>
      <c r="C284">
        <v>-2070.85246922239</v>
      </c>
      <c r="D284">
        <v>-2070.7829948231501</v>
      </c>
      <c r="E284" t="s">
        <v>1112</v>
      </c>
      <c r="F284" t="s">
        <v>1113</v>
      </c>
      <c r="G284" t="s">
        <v>1114</v>
      </c>
      <c r="H284" t="str">
        <f t="shared" si="4"/>
        <v>singlet</v>
      </c>
      <c r="I284" t="s">
        <v>1115</v>
      </c>
    </row>
    <row r="285" spans="1:9" x14ac:dyDescent="0.25">
      <c r="A285" t="s">
        <v>1116</v>
      </c>
      <c r="B285">
        <v>-4721.1715731826998</v>
      </c>
      <c r="C285">
        <v>-4721.1126007160001</v>
      </c>
      <c r="D285">
        <v>-4721.0441412380796</v>
      </c>
      <c r="E285" t="s">
        <v>1117</v>
      </c>
      <c r="F285" t="s">
        <v>1118</v>
      </c>
      <c r="G285" t="s">
        <v>1119</v>
      </c>
      <c r="H285" t="str">
        <f t="shared" si="4"/>
        <v>singlet</v>
      </c>
      <c r="I285" t="s">
        <v>218</v>
      </c>
    </row>
    <row r="286" spans="1:9" x14ac:dyDescent="0.25">
      <c r="A286" t="s">
        <v>1120</v>
      </c>
      <c r="B286">
        <v>-4256.85293876988</v>
      </c>
      <c r="C286">
        <v>-4256.8235085041197</v>
      </c>
      <c r="D286">
        <v>-4256.7645567822801</v>
      </c>
      <c r="E286" t="s">
        <v>1121</v>
      </c>
      <c r="F286" t="s">
        <v>1122</v>
      </c>
      <c r="G286" t="s">
        <v>1123</v>
      </c>
      <c r="H286" t="str">
        <f t="shared" si="4"/>
        <v>singlet</v>
      </c>
      <c r="I286" t="s">
        <v>108</v>
      </c>
    </row>
    <row r="287" spans="1:9" x14ac:dyDescent="0.25">
      <c r="A287" t="s">
        <v>1124</v>
      </c>
      <c r="B287">
        <v>-2808.92111310681</v>
      </c>
      <c r="C287">
        <v>-2808.86151337005</v>
      </c>
      <c r="D287">
        <v>-2808.7917735512401</v>
      </c>
      <c r="E287" t="s">
        <v>1125</v>
      </c>
      <c r="F287" t="s">
        <v>1126</v>
      </c>
      <c r="G287" t="s">
        <v>1127</v>
      </c>
      <c r="H287" t="str">
        <f t="shared" si="4"/>
        <v>singlet</v>
      </c>
      <c r="I287" t="s">
        <v>286</v>
      </c>
    </row>
    <row r="288" spans="1:9" x14ac:dyDescent="0.25">
      <c r="A288" t="s">
        <v>1128</v>
      </c>
      <c r="B288">
        <v>-4382.3579100747702</v>
      </c>
      <c r="C288">
        <v>-4382.2983681730302</v>
      </c>
      <c r="D288">
        <v>-4382.23151480053</v>
      </c>
      <c r="E288" t="s">
        <v>1129</v>
      </c>
      <c r="F288" t="s">
        <v>1130</v>
      </c>
      <c r="G288" t="s">
        <v>1131</v>
      </c>
      <c r="H288" t="str">
        <f t="shared" si="4"/>
        <v>singlet</v>
      </c>
      <c r="I288" t="s">
        <v>58</v>
      </c>
    </row>
    <row r="289" spans="1:9" x14ac:dyDescent="0.25">
      <c r="A289" t="s">
        <v>1132</v>
      </c>
      <c r="B289">
        <v>-4340.1087007512497</v>
      </c>
      <c r="C289">
        <v>-4340.0804926207202</v>
      </c>
      <c r="D289">
        <v>-4340.0164304314103</v>
      </c>
      <c r="E289" t="s">
        <v>1133</v>
      </c>
      <c r="F289" t="s">
        <v>1134</v>
      </c>
      <c r="G289" t="s">
        <v>1135</v>
      </c>
      <c r="H289" t="str">
        <f t="shared" si="4"/>
        <v>singlet</v>
      </c>
      <c r="I289" t="s">
        <v>1136</v>
      </c>
    </row>
    <row r="290" spans="1:9" x14ac:dyDescent="0.25">
      <c r="A290" t="s">
        <v>1137</v>
      </c>
      <c r="B290">
        <v>-4263.7962419688401</v>
      </c>
      <c r="C290">
        <v>-4263.7427132582698</v>
      </c>
      <c r="D290">
        <v>-4263.71798878358</v>
      </c>
      <c r="E290" t="s">
        <v>1138</v>
      </c>
      <c r="F290" t="s">
        <v>1139</v>
      </c>
      <c r="G290" t="s">
        <v>1140</v>
      </c>
      <c r="H290" t="str">
        <f t="shared" si="4"/>
        <v>singlet</v>
      </c>
      <c r="I290" t="s">
        <v>77</v>
      </c>
    </row>
    <row r="291" spans="1:9" x14ac:dyDescent="0.25">
      <c r="A291" t="s">
        <v>1141</v>
      </c>
      <c r="B291">
        <v>-3540.4053602221602</v>
      </c>
      <c r="C291">
        <v>-3540.3518866614399</v>
      </c>
      <c r="D291">
        <v>-3540.3212330653801</v>
      </c>
      <c r="E291" t="s">
        <v>1142</v>
      </c>
      <c r="F291" t="s">
        <v>1143</v>
      </c>
      <c r="G291" t="s">
        <v>1140</v>
      </c>
      <c r="H291" t="str">
        <f t="shared" si="4"/>
        <v>singlet</v>
      </c>
      <c r="I291" t="s">
        <v>77</v>
      </c>
    </row>
    <row r="292" spans="1:9" x14ac:dyDescent="0.25">
      <c r="A292" t="s">
        <v>1144</v>
      </c>
      <c r="B292">
        <v>-3103.9210387744902</v>
      </c>
      <c r="C292">
        <v>-3103.9097626919702</v>
      </c>
      <c r="D292">
        <v>-3103.84624075497</v>
      </c>
      <c r="E292" t="s">
        <v>1145</v>
      </c>
      <c r="F292" t="s">
        <v>1146</v>
      </c>
      <c r="G292" t="s">
        <v>1147</v>
      </c>
      <c r="H292" t="str">
        <f t="shared" si="4"/>
        <v>singlet</v>
      </c>
      <c r="I292" t="s">
        <v>241</v>
      </c>
    </row>
    <row r="293" spans="1:9" x14ac:dyDescent="0.25">
      <c r="A293" t="s">
        <v>1148</v>
      </c>
      <c r="B293">
        <v>-3686.9307341295098</v>
      </c>
      <c r="C293">
        <v>-3686.9457000698098</v>
      </c>
      <c r="D293">
        <v>-3686.97496781584</v>
      </c>
      <c r="E293" t="s">
        <v>1149</v>
      </c>
      <c r="F293" t="s">
        <v>1150</v>
      </c>
      <c r="G293" t="s">
        <v>1151</v>
      </c>
      <c r="H293" t="str">
        <f t="shared" si="4"/>
        <v>quintet</v>
      </c>
      <c r="I293" t="s">
        <v>108</v>
      </c>
    </row>
    <row r="294" spans="1:9" x14ac:dyDescent="0.25">
      <c r="A294" t="s">
        <v>1152</v>
      </c>
      <c r="B294">
        <v>-4070.3009703574098</v>
      </c>
      <c r="C294">
        <v>-4070.2424246693199</v>
      </c>
      <c r="D294">
        <v>-4070.1740224929899</v>
      </c>
      <c r="E294" t="s">
        <v>1153</v>
      </c>
      <c r="F294" t="s">
        <v>1154</v>
      </c>
      <c r="G294" t="s">
        <v>624</v>
      </c>
      <c r="H294" t="str">
        <f t="shared" si="4"/>
        <v>singlet</v>
      </c>
      <c r="I294" t="s">
        <v>560</v>
      </c>
    </row>
    <row r="295" spans="1:9" x14ac:dyDescent="0.25">
      <c r="A295" t="s">
        <v>1155</v>
      </c>
      <c r="B295">
        <v>-4132.7193945393801</v>
      </c>
      <c r="C295">
        <v>-4132.6615150418402</v>
      </c>
      <c r="D295">
        <v>-4132.5943308301903</v>
      </c>
      <c r="E295" t="s">
        <v>1156</v>
      </c>
      <c r="F295" t="s">
        <v>1157</v>
      </c>
      <c r="G295" t="s">
        <v>1158</v>
      </c>
      <c r="H295" t="str">
        <f t="shared" si="4"/>
        <v>singlet</v>
      </c>
      <c r="I295" t="s">
        <v>77</v>
      </c>
    </row>
    <row r="296" spans="1:9" x14ac:dyDescent="0.25">
      <c r="A296" t="s">
        <v>1159</v>
      </c>
      <c r="B296">
        <v>-4250.4324970383304</v>
      </c>
      <c r="C296">
        <v>-4250.3772813736095</v>
      </c>
      <c r="D296">
        <v>-4250.3110235565</v>
      </c>
      <c r="E296" t="s">
        <v>1160</v>
      </c>
      <c r="F296" t="s">
        <v>1161</v>
      </c>
      <c r="G296" t="s">
        <v>1158</v>
      </c>
      <c r="H296" t="str">
        <f t="shared" si="4"/>
        <v>singlet</v>
      </c>
      <c r="I296" t="s">
        <v>77</v>
      </c>
    </row>
    <row r="297" spans="1:9" x14ac:dyDescent="0.25">
      <c r="A297" t="s">
        <v>1162</v>
      </c>
      <c r="B297">
        <v>-3888.4511815910801</v>
      </c>
      <c r="C297">
        <v>-3888.4295324022301</v>
      </c>
      <c r="D297">
        <v>-3888.3637361792398</v>
      </c>
      <c r="E297" t="s">
        <v>1163</v>
      </c>
      <c r="F297" t="s">
        <v>1164</v>
      </c>
      <c r="G297" t="s">
        <v>1158</v>
      </c>
      <c r="H297" t="str">
        <f t="shared" si="4"/>
        <v>singlet</v>
      </c>
      <c r="I297" t="s">
        <v>77</v>
      </c>
    </row>
    <row r="298" spans="1:9" x14ac:dyDescent="0.25">
      <c r="A298" t="s">
        <v>1165</v>
      </c>
      <c r="B298">
        <v>-2728.0642963311602</v>
      </c>
      <c r="C298">
        <v>-2727.9997067457398</v>
      </c>
      <c r="D298">
        <v>-2727.90302298814</v>
      </c>
      <c r="E298" t="s">
        <v>1166</v>
      </c>
      <c r="F298" t="s">
        <v>1167</v>
      </c>
      <c r="G298" t="s">
        <v>1168</v>
      </c>
      <c r="H298" t="str">
        <f t="shared" si="4"/>
        <v>singlet</v>
      </c>
      <c r="I298" t="s">
        <v>1169</v>
      </c>
    </row>
    <row r="299" spans="1:9" x14ac:dyDescent="0.25">
      <c r="A299" t="s">
        <v>1170</v>
      </c>
      <c r="B299">
        <v>-3834.2725958157398</v>
      </c>
      <c r="C299">
        <v>-3834.2874045754102</v>
      </c>
      <c r="D299">
        <v>-3834.3180730232798</v>
      </c>
      <c r="E299" t="s">
        <v>1171</v>
      </c>
      <c r="F299" t="s">
        <v>1172</v>
      </c>
      <c r="G299" t="s">
        <v>1173</v>
      </c>
      <c r="H299" t="str">
        <f t="shared" si="4"/>
        <v>quintet</v>
      </c>
      <c r="I299" t="s">
        <v>228</v>
      </c>
    </row>
    <row r="300" spans="1:9" x14ac:dyDescent="0.25">
      <c r="A300" t="s">
        <v>1174</v>
      </c>
      <c r="B300">
        <v>-3279.7426690921702</v>
      </c>
      <c r="C300">
        <v>-3279.6721384976299</v>
      </c>
      <c r="D300">
        <v>-3279.59644554023</v>
      </c>
      <c r="E300" t="s">
        <v>1175</v>
      </c>
      <c r="F300" t="s">
        <v>1176</v>
      </c>
      <c r="G300" t="s">
        <v>1177</v>
      </c>
      <c r="H300" t="str">
        <f t="shared" si="4"/>
        <v>singlet</v>
      </c>
      <c r="I300" t="s">
        <v>77</v>
      </c>
    </row>
    <row r="301" spans="1:9" x14ac:dyDescent="0.25">
      <c r="A301" t="s">
        <v>1178</v>
      </c>
      <c r="B301">
        <v>-4386.8007375152301</v>
      </c>
      <c r="C301">
        <v>-4386.7290773739296</v>
      </c>
      <c r="D301">
        <v>-4386.6898931071</v>
      </c>
      <c r="E301" t="s">
        <v>1179</v>
      </c>
      <c r="F301" t="s">
        <v>1180</v>
      </c>
      <c r="G301" t="s">
        <v>1181</v>
      </c>
      <c r="H301" t="str">
        <f t="shared" si="4"/>
        <v>singlet</v>
      </c>
      <c r="I301" t="s">
        <v>127</v>
      </c>
    </row>
    <row r="302" spans="1:9" x14ac:dyDescent="0.25">
      <c r="A302" t="s">
        <v>1182</v>
      </c>
      <c r="B302">
        <v>-2568.6457349597299</v>
      </c>
      <c r="C302">
        <v>-2568.5763064374</v>
      </c>
      <c r="D302">
        <v>-2568.5089536107498</v>
      </c>
      <c r="E302" t="s">
        <v>1183</v>
      </c>
      <c r="F302" t="s">
        <v>1184</v>
      </c>
      <c r="G302" t="s">
        <v>1185</v>
      </c>
      <c r="H302" t="str">
        <f t="shared" si="4"/>
        <v>singlet</v>
      </c>
      <c r="I302" t="s">
        <v>286</v>
      </c>
    </row>
    <row r="303" spans="1:9" x14ac:dyDescent="0.25">
      <c r="A303" t="s">
        <v>1186</v>
      </c>
      <c r="B303">
        <v>-3447.5449883479</v>
      </c>
      <c r="C303">
        <v>-3447.4827358418702</v>
      </c>
      <c r="D303">
        <v>-3447.4114132070699</v>
      </c>
      <c r="E303" t="s">
        <v>1187</v>
      </c>
      <c r="F303" t="s">
        <v>1188</v>
      </c>
      <c r="G303" t="s">
        <v>1189</v>
      </c>
      <c r="H303" t="str">
        <f t="shared" si="4"/>
        <v>singlet</v>
      </c>
      <c r="I303" t="s">
        <v>108</v>
      </c>
    </row>
    <row r="304" spans="1:9" x14ac:dyDescent="0.25">
      <c r="A304" t="s">
        <v>1190</v>
      </c>
      <c r="B304">
        <v>-4457.1103140584501</v>
      </c>
      <c r="C304">
        <v>-4457.1364137406699</v>
      </c>
      <c r="D304">
        <v>-4457.1360199937499</v>
      </c>
      <c r="E304" t="s">
        <v>1191</v>
      </c>
      <c r="F304" t="s">
        <v>1192</v>
      </c>
      <c r="G304" t="s">
        <v>1193</v>
      </c>
      <c r="H304" t="str">
        <f t="shared" si="4"/>
        <v>triplet</v>
      </c>
      <c r="I304" t="s">
        <v>77</v>
      </c>
    </row>
    <row r="305" spans="1:9" x14ac:dyDescent="0.25">
      <c r="A305" t="s">
        <v>1194</v>
      </c>
      <c r="E305" t="s">
        <v>1195</v>
      </c>
      <c r="F305" t="s">
        <v>485</v>
      </c>
      <c r="H305" t="str">
        <f t="shared" si="4"/>
        <v/>
      </c>
    </row>
    <row r="306" spans="1:9" x14ac:dyDescent="0.25">
      <c r="A306" t="s">
        <v>1196</v>
      </c>
      <c r="B306">
        <v>-4210.6432719249597</v>
      </c>
      <c r="C306">
        <v>-4210.5834097145298</v>
      </c>
      <c r="D306">
        <v>-4210.5141220034802</v>
      </c>
      <c r="E306" t="s">
        <v>1197</v>
      </c>
      <c r="F306" t="s">
        <v>1198</v>
      </c>
      <c r="G306" t="s">
        <v>1199</v>
      </c>
      <c r="H306" t="str">
        <f t="shared" si="4"/>
        <v>singlet</v>
      </c>
      <c r="I306" t="s">
        <v>91</v>
      </c>
    </row>
    <row r="307" spans="1:9" x14ac:dyDescent="0.25">
      <c r="A307" t="s">
        <v>1200</v>
      </c>
      <c r="B307">
        <v>-4708.6397029871796</v>
      </c>
      <c r="C307">
        <v>-4708.5911778903501</v>
      </c>
      <c r="D307">
        <v>-4708.5165957422596</v>
      </c>
      <c r="E307" t="s">
        <v>1201</v>
      </c>
      <c r="F307" t="s">
        <v>1202</v>
      </c>
      <c r="G307" t="s">
        <v>1203</v>
      </c>
      <c r="H307" t="str">
        <f t="shared" si="4"/>
        <v>singlet</v>
      </c>
      <c r="I307" t="s">
        <v>77</v>
      </c>
    </row>
    <row r="308" spans="1:9" x14ac:dyDescent="0.25">
      <c r="A308" t="s">
        <v>1204</v>
      </c>
      <c r="B308">
        <v>-3621.5858906663898</v>
      </c>
      <c r="C308">
        <v>-3621.5169330157701</v>
      </c>
      <c r="D308">
        <v>-3621.4495598489598</v>
      </c>
      <c r="E308" t="s">
        <v>1205</v>
      </c>
      <c r="F308" t="s">
        <v>1206</v>
      </c>
      <c r="G308" t="s">
        <v>1207</v>
      </c>
      <c r="H308" t="str">
        <f t="shared" si="4"/>
        <v>singlet</v>
      </c>
      <c r="I308" t="s">
        <v>1208</v>
      </c>
    </row>
    <row r="309" spans="1:9" x14ac:dyDescent="0.25">
      <c r="A309" t="s">
        <v>1209</v>
      </c>
      <c r="B309">
        <v>-4198.5080719254202</v>
      </c>
      <c r="C309">
        <v>-4198.4478978104198</v>
      </c>
      <c r="D309">
        <v>-4198.3795489227696</v>
      </c>
      <c r="E309" t="s">
        <v>1210</v>
      </c>
      <c r="F309" t="s">
        <v>1211</v>
      </c>
      <c r="G309" t="s">
        <v>1212</v>
      </c>
      <c r="H309" t="str">
        <f t="shared" si="4"/>
        <v>singlet</v>
      </c>
      <c r="I309" t="s">
        <v>77</v>
      </c>
    </row>
    <row r="310" spans="1:9" x14ac:dyDescent="0.25">
      <c r="A310" t="s">
        <v>1213</v>
      </c>
      <c r="B310">
        <v>-2165.7173819932</v>
      </c>
      <c r="C310">
        <v>-2165.6417906670099</v>
      </c>
      <c r="D310">
        <v>-2165.57225057187</v>
      </c>
      <c r="E310" t="s">
        <v>1214</v>
      </c>
      <c r="F310" t="s">
        <v>1215</v>
      </c>
      <c r="G310" t="s">
        <v>1216</v>
      </c>
      <c r="H310" t="str">
        <f t="shared" si="4"/>
        <v>singlet</v>
      </c>
      <c r="I310" t="s">
        <v>77</v>
      </c>
    </row>
    <row r="311" spans="1:9" x14ac:dyDescent="0.25">
      <c r="A311" t="s">
        <v>1217</v>
      </c>
      <c r="B311">
        <v>-2165.7173808842299</v>
      </c>
      <c r="C311">
        <v>-2165.6417954479598</v>
      </c>
      <c r="D311">
        <v>-2165.5722557992599</v>
      </c>
      <c r="E311" t="s">
        <v>1218</v>
      </c>
      <c r="F311" t="s">
        <v>1219</v>
      </c>
      <c r="G311" t="s">
        <v>1220</v>
      </c>
      <c r="H311" t="str">
        <f t="shared" si="4"/>
        <v>singlet</v>
      </c>
      <c r="I311" t="s">
        <v>77</v>
      </c>
    </row>
    <row r="312" spans="1:9" x14ac:dyDescent="0.25">
      <c r="A312" t="s">
        <v>1221</v>
      </c>
      <c r="B312">
        <v>-2495.0329853353901</v>
      </c>
      <c r="C312">
        <v>-2495.0173286084901</v>
      </c>
      <c r="D312">
        <v>-2494.9421220724398</v>
      </c>
      <c r="E312" t="s">
        <v>1222</v>
      </c>
      <c r="F312" t="s">
        <v>1223</v>
      </c>
      <c r="G312" t="s">
        <v>1224</v>
      </c>
      <c r="H312" t="str">
        <f t="shared" si="4"/>
        <v>singlet</v>
      </c>
      <c r="I312" t="s">
        <v>77</v>
      </c>
    </row>
    <row r="313" spans="1:9" x14ac:dyDescent="0.25">
      <c r="A313" t="s">
        <v>1225</v>
      </c>
      <c r="E313" t="s">
        <v>1226</v>
      </c>
      <c r="F313" t="s">
        <v>1227</v>
      </c>
      <c r="G313" t="s">
        <v>1228</v>
      </c>
      <c r="H313" t="str">
        <f t="shared" si="4"/>
        <v/>
      </c>
      <c r="I313" t="s">
        <v>137</v>
      </c>
    </row>
    <row r="314" spans="1:9" x14ac:dyDescent="0.25">
      <c r="A314" t="s">
        <v>1229</v>
      </c>
      <c r="B314">
        <v>-4981.1951819569604</v>
      </c>
      <c r="C314">
        <v>-4981.1370892162604</v>
      </c>
      <c r="D314">
        <v>-4981.1122468679296</v>
      </c>
      <c r="E314" t="s">
        <v>1230</v>
      </c>
      <c r="F314" t="s">
        <v>1231</v>
      </c>
      <c r="G314" t="s">
        <v>1232</v>
      </c>
      <c r="H314" t="str">
        <f t="shared" si="4"/>
        <v>singlet</v>
      </c>
      <c r="I314" t="s">
        <v>770</v>
      </c>
    </row>
    <row r="315" spans="1:9" x14ac:dyDescent="0.25">
      <c r="A315" t="s">
        <v>1233</v>
      </c>
      <c r="B315">
        <v>-3910.1965774393102</v>
      </c>
      <c r="C315">
        <v>-3910.1737345613601</v>
      </c>
      <c r="D315">
        <v>-3910.1078333373798</v>
      </c>
      <c r="E315" t="s">
        <v>1234</v>
      </c>
      <c r="F315" t="s">
        <v>1235</v>
      </c>
      <c r="G315" t="s">
        <v>1236</v>
      </c>
      <c r="H315" t="str">
        <f t="shared" si="4"/>
        <v>singlet</v>
      </c>
      <c r="I315" t="s">
        <v>241</v>
      </c>
    </row>
    <row r="316" spans="1:9" x14ac:dyDescent="0.25">
      <c r="A316" t="s">
        <v>1237</v>
      </c>
      <c r="B316">
        <v>-3679.5601085427702</v>
      </c>
      <c r="C316">
        <v>-3679.5362191593099</v>
      </c>
      <c r="D316">
        <v>-3679.4725503530099</v>
      </c>
      <c r="E316" t="s">
        <v>1238</v>
      </c>
      <c r="F316" t="s">
        <v>1239</v>
      </c>
      <c r="G316" t="s">
        <v>1236</v>
      </c>
      <c r="H316" t="str">
        <f t="shared" si="4"/>
        <v>singlet</v>
      </c>
      <c r="I316" t="s">
        <v>241</v>
      </c>
    </row>
    <row r="317" spans="1:9" x14ac:dyDescent="0.25">
      <c r="A317" t="s">
        <v>1240</v>
      </c>
      <c r="B317">
        <v>-4157.3077145938896</v>
      </c>
      <c r="E317" t="s">
        <v>1241</v>
      </c>
      <c r="F317" t="s">
        <v>1242</v>
      </c>
      <c r="G317" t="s">
        <v>1243</v>
      </c>
      <c r="H317" t="str">
        <f t="shared" si="4"/>
        <v/>
      </c>
      <c r="I317" t="s">
        <v>414</v>
      </c>
    </row>
    <row r="318" spans="1:9" x14ac:dyDescent="0.25">
      <c r="A318" t="s">
        <v>1244</v>
      </c>
      <c r="B318">
        <v>-3768.2572181372698</v>
      </c>
      <c r="C318">
        <v>-3768.2745110499</v>
      </c>
      <c r="D318">
        <v>-3768.2845148339602</v>
      </c>
      <c r="E318" t="s">
        <v>1245</v>
      </c>
      <c r="F318" t="s">
        <v>1246</v>
      </c>
      <c r="G318" t="s">
        <v>1247</v>
      </c>
      <c r="H318" t="str">
        <f t="shared" si="4"/>
        <v>quintet</v>
      </c>
      <c r="I318" t="s">
        <v>1248</v>
      </c>
    </row>
    <row r="319" spans="1:9" x14ac:dyDescent="0.25">
      <c r="A319" t="s">
        <v>1249</v>
      </c>
      <c r="B319">
        <v>-2784.5645658221601</v>
      </c>
      <c r="C319">
        <v>-2784.50552240463</v>
      </c>
      <c r="D319">
        <v>-2784.4331906930402</v>
      </c>
      <c r="E319" t="s">
        <v>1250</v>
      </c>
      <c r="F319" t="s">
        <v>1251</v>
      </c>
      <c r="G319" t="s">
        <v>1252</v>
      </c>
      <c r="H319" t="str">
        <f t="shared" si="4"/>
        <v>singlet</v>
      </c>
      <c r="I319" t="s">
        <v>241</v>
      </c>
    </row>
    <row r="320" spans="1:9" x14ac:dyDescent="0.25">
      <c r="A320" t="s">
        <v>1253</v>
      </c>
      <c r="B320">
        <v>-2745.3437673490298</v>
      </c>
      <c r="C320">
        <v>-2745.2798981658202</v>
      </c>
      <c r="D320">
        <v>-2745.18336700492</v>
      </c>
      <c r="E320" t="s">
        <v>1254</v>
      </c>
      <c r="F320" t="s">
        <v>1255</v>
      </c>
      <c r="G320" t="s">
        <v>1252</v>
      </c>
      <c r="H320" t="str">
        <f t="shared" si="4"/>
        <v>singlet</v>
      </c>
      <c r="I320" t="s">
        <v>241</v>
      </c>
    </row>
    <row r="321" spans="1:9" x14ac:dyDescent="0.25">
      <c r="A321" t="s">
        <v>1256</v>
      </c>
      <c r="B321">
        <v>-4817.7649635195003</v>
      </c>
      <c r="C321">
        <v>-4817.69739424215</v>
      </c>
      <c r="D321">
        <v>-4817.6339427945104</v>
      </c>
      <c r="E321" t="s">
        <v>1257</v>
      </c>
      <c r="F321" t="s">
        <v>1258</v>
      </c>
      <c r="G321" t="s">
        <v>1259</v>
      </c>
      <c r="H321" t="str">
        <f t="shared" si="4"/>
        <v>singlet</v>
      </c>
      <c r="I321" t="s">
        <v>1260</v>
      </c>
    </row>
    <row r="322" spans="1:9" x14ac:dyDescent="0.25">
      <c r="A322" t="s">
        <v>1261</v>
      </c>
      <c r="B322">
        <v>-2752.2297189833898</v>
      </c>
      <c r="C322">
        <v>-2752.1626010012301</v>
      </c>
      <c r="D322">
        <v>-2752.0962784488902</v>
      </c>
      <c r="E322" t="s">
        <v>1262</v>
      </c>
      <c r="F322" t="s">
        <v>1263</v>
      </c>
      <c r="G322" t="s">
        <v>1264</v>
      </c>
      <c r="H322" t="str">
        <f t="shared" ref="H322:H372" si="5">IF(OR(B322="", C322="", D322=""), "", INDEX($B$1:$D$1,MATCH(MIN(B322:D322),B322:D322,0)))</f>
        <v>singlet</v>
      </c>
      <c r="I322" t="s">
        <v>241</v>
      </c>
    </row>
    <row r="323" spans="1:9" x14ac:dyDescent="0.25">
      <c r="A323" t="s">
        <v>1265</v>
      </c>
      <c r="B323">
        <v>-2958.9572418025</v>
      </c>
      <c r="C323">
        <v>-2958.8943854957902</v>
      </c>
      <c r="D323">
        <v>-2958.8204527890798</v>
      </c>
      <c r="E323" t="s">
        <v>1266</v>
      </c>
      <c r="F323" t="s">
        <v>1267</v>
      </c>
      <c r="G323" t="s">
        <v>1268</v>
      </c>
      <c r="H323" t="str">
        <f t="shared" si="5"/>
        <v>singlet</v>
      </c>
      <c r="I323" t="s">
        <v>77</v>
      </c>
    </row>
    <row r="324" spans="1:9" x14ac:dyDescent="0.25">
      <c r="A324" t="s">
        <v>1269</v>
      </c>
      <c r="B324">
        <v>-4435.5963567927402</v>
      </c>
      <c r="C324">
        <v>-4435.6114659423702</v>
      </c>
      <c r="D324">
        <v>-4435.6404306975301</v>
      </c>
      <c r="E324" t="s">
        <v>1270</v>
      </c>
      <c r="F324" t="s">
        <v>1271</v>
      </c>
      <c r="G324" t="s">
        <v>942</v>
      </c>
      <c r="H324" t="str">
        <f t="shared" si="5"/>
        <v>quintet</v>
      </c>
      <c r="I324" t="s">
        <v>137</v>
      </c>
    </row>
    <row r="325" spans="1:9" x14ac:dyDescent="0.25">
      <c r="A325" t="s">
        <v>1272</v>
      </c>
      <c r="B325">
        <v>-3520.3362448999801</v>
      </c>
      <c r="C325">
        <v>-3520.3513487536902</v>
      </c>
      <c r="D325">
        <v>-3520.3804466818901</v>
      </c>
      <c r="E325" t="s">
        <v>1273</v>
      </c>
      <c r="F325" t="s">
        <v>1274</v>
      </c>
      <c r="G325" t="s">
        <v>426</v>
      </c>
      <c r="H325" t="str">
        <f t="shared" si="5"/>
        <v>quintet</v>
      </c>
      <c r="I325" t="s">
        <v>427</v>
      </c>
    </row>
    <row r="326" spans="1:9" x14ac:dyDescent="0.25">
      <c r="A326" t="s">
        <v>1275</v>
      </c>
      <c r="B326">
        <v>-3672.4318263093901</v>
      </c>
      <c r="C326">
        <v>-3672.43220528649</v>
      </c>
      <c r="D326">
        <v>-3672.4087314733702</v>
      </c>
      <c r="E326" t="s">
        <v>1276</v>
      </c>
      <c r="F326" t="s">
        <v>1277</v>
      </c>
      <c r="G326" t="s">
        <v>1278</v>
      </c>
      <c r="H326" t="str">
        <f t="shared" si="5"/>
        <v>triplet</v>
      </c>
      <c r="I326" t="s">
        <v>77</v>
      </c>
    </row>
    <row r="327" spans="1:9" x14ac:dyDescent="0.25">
      <c r="A327" t="s">
        <v>1279</v>
      </c>
      <c r="B327">
        <v>-3225.6962650670098</v>
      </c>
      <c r="C327">
        <v>-3225.7111906833702</v>
      </c>
      <c r="D327">
        <v>-3225.7410412481699</v>
      </c>
      <c r="E327" t="s">
        <v>1280</v>
      </c>
      <c r="F327" t="s">
        <v>1281</v>
      </c>
      <c r="G327" t="s">
        <v>409</v>
      </c>
      <c r="H327" t="str">
        <f t="shared" si="5"/>
        <v>quintet</v>
      </c>
      <c r="I327" t="s">
        <v>137</v>
      </c>
    </row>
    <row r="328" spans="1:9" x14ac:dyDescent="0.25">
      <c r="A328" t="s">
        <v>1282</v>
      </c>
      <c r="B328">
        <v>-4476.5620533150804</v>
      </c>
      <c r="C328">
        <v>-4476.5038423081296</v>
      </c>
      <c r="D328">
        <v>-4476.4359418079803</v>
      </c>
      <c r="E328" t="s">
        <v>1283</v>
      </c>
      <c r="F328" t="s">
        <v>1284</v>
      </c>
      <c r="G328" t="s">
        <v>1285</v>
      </c>
      <c r="H328" t="str">
        <f t="shared" si="5"/>
        <v>singlet</v>
      </c>
      <c r="I328" t="s">
        <v>286</v>
      </c>
    </row>
    <row r="329" spans="1:9" x14ac:dyDescent="0.25">
      <c r="A329" t="s">
        <v>1286</v>
      </c>
      <c r="B329">
        <v>-6838.1932199716903</v>
      </c>
      <c r="C329">
        <v>-6838.1340674142702</v>
      </c>
      <c r="D329">
        <v>-6838.11484907249</v>
      </c>
      <c r="E329" t="s">
        <v>1287</v>
      </c>
      <c r="F329" t="s">
        <v>1288</v>
      </c>
      <c r="G329" t="s">
        <v>1289</v>
      </c>
      <c r="H329" t="str">
        <f t="shared" si="5"/>
        <v>singlet</v>
      </c>
      <c r="I329" t="s">
        <v>108</v>
      </c>
    </row>
    <row r="330" spans="1:9" x14ac:dyDescent="0.25">
      <c r="A330" t="s">
        <v>1290</v>
      </c>
      <c r="B330">
        <v>-4352.1573916352399</v>
      </c>
      <c r="C330">
        <v>-4352.1360099415397</v>
      </c>
      <c r="D330">
        <v>-4352.06909090524</v>
      </c>
      <c r="E330" t="s">
        <v>1291</v>
      </c>
      <c r="F330" t="s">
        <v>1292</v>
      </c>
      <c r="G330" t="s">
        <v>1293</v>
      </c>
      <c r="H330" t="str">
        <f t="shared" si="5"/>
        <v>singlet</v>
      </c>
      <c r="I330" t="s">
        <v>1294</v>
      </c>
    </row>
    <row r="331" spans="1:9" x14ac:dyDescent="0.25">
      <c r="A331" t="s">
        <v>1295</v>
      </c>
      <c r="B331">
        <v>-3654.6033203137099</v>
      </c>
      <c r="C331">
        <v>-3654.5818500944902</v>
      </c>
      <c r="D331">
        <v>-3654.5126525775299</v>
      </c>
      <c r="E331" t="s">
        <v>1296</v>
      </c>
      <c r="F331" t="s">
        <v>1297</v>
      </c>
      <c r="G331" t="s">
        <v>1298</v>
      </c>
      <c r="H331" t="str">
        <f t="shared" si="5"/>
        <v>singlet</v>
      </c>
      <c r="I331" t="s">
        <v>326</v>
      </c>
    </row>
    <row r="332" spans="1:9" x14ac:dyDescent="0.25">
      <c r="A332" t="s">
        <v>1299</v>
      </c>
      <c r="B332">
        <v>-3615.3794259322999</v>
      </c>
      <c r="C332">
        <v>-3615.3566418876999</v>
      </c>
      <c r="D332">
        <v>-3615.28839890464</v>
      </c>
      <c r="E332" t="s">
        <v>1300</v>
      </c>
      <c r="F332" t="s">
        <v>1301</v>
      </c>
      <c r="G332" t="s">
        <v>1298</v>
      </c>
      <c r="H332" t="str">
        <f t="shared" si="5"/>
        <v>singlet</v>
      </c>
      <c r="I332" t="s">
        <v>326</v>
      </c>
    </row>
    <row r="333" spans="1:9" x14ac:dyDescent="0.25">
      <c r="A333" t="s">
        <v>1302</v>
      </c>
      <c r="B333">
        <v>-4128.72474516895</v>
      </c>
      <c r="C333">
        <v>-4128.7031673436804</v>
      </c>
      <c r="D333">
        <v>-4128.6353681194196</v>
      </c>
      <c r="E333" t="s">
        <v>1303</v>
      </c>
      <c r="F333" t="s">
        <v>1304</v>
      </c>
      <c r="G333" t="s">
        <v>1305</v>
      </c>
      <c r="H333" t="str">
        <f t="shared" si="5"/>
        <v>singlet</v>
      </c>
      <c r="I333" t="s">
        <v>127</v>
      </c>
    </row>
    <row r="334" spans="1:9" x14ac:dyDescent="0.25">
      <c r="A334" t="s">
        <v>1306</v>
      </c>
      <c r="B334">
        <v>-1106.3115785011901</v>
      </c>
      <c r="C334">
        <v>-1106.2331211896801</v>
      </c>
      <c r="D334">
        <v>-1106.1595417743299</v>
      </c>
      <c r="E334" t="s">
        <v>1307</v>
      </c>
      <c r="F334" t="s">
        <v>1308</v>
      </c>
      <c r="G334" t="s">
        <v>1309</v>
      </c>
      <c r="H334" t="str">
        <f t="shared" si="5"/>
        <v>singlet</v>
      </c>
      <c r="I334" t="s">
        <v>77</v>
      </c>
    </row>
    <row r="335" spans="1:9" x14ac:dyDescent="0.25">
      <c r="A335" t="s">
        <v>1310</v>
      </c>
      <c r="E335" t="s">
        <v>1311</v>
      </c>
      <c r="F335" t="s">
        <v>1312</v>
      </c>
      <c r="G335" t="s">
        <v>1313</v>
      </c>
      <c r="H335" t="str">
        <f t="shared" si="5"/>
        <v/>
      </c>
      <c r="I335" t="s">
        <v>218</v>
      </c>
    </row>
    <row r="336" spans="1:9" x14ac:dyDescent="0.25">
      <c r="A336" t="s">
        <v>1314</v>
      </c>
      <c r="B336">
        <v>-3687.6500218262299</v>
      </c>
      <c r="C336">
        <v>-3687.5877317003301</v>
      </c>
      <c r="D336">
        <v>-3687.5193772623802</v>
      </c>
      <c r="E336" t="s">
        <v>1315</v>
      </c>
      <c r="F336" t="s">
        <v>1316</v>
      </c>
      <c r="G336" t="s">
        <v>1317</v>
      </c>
      <c r="H336" t="str">
        <f t="shared" si="5"/>
        <v>singlet</v>
      </c>
      <c r="I336" t="s">
        <v>127</v>
      </c>
    </row>
    <row r="337" spans="1:9" x14ac:dyDescent="0.25">
      <c r="A337" t="s">
        <v>1318</v>
      </c>
      <c r="B337">
        <v>-4424.0228583590897</v>
      </c>
      <c r="C337">
        <v>-4423.9647820827004</v>
      </c>
      <c r="D337">
        <v>-4423.8968336541502</v>
      </c>
      <c r="E337" t="s">
        <v>1319</v>
      </c>
      <c r="F337" t="s">
        <v>1320</v>
      </c>
      <c r="G337" t="s">
        <v>1321</v>
      </c>
      <c r="H337" t="str">
        <f t="shared" si="5"/>
        <v>singlet</v>
      </c>
      <c r="I337" t="s">
        <v>127</v>
      </c>
    </row>
    <row r="338" spans="1:9" x14ac:dyDescent="0.25">
      <c r="A338" t="s">
        <v>1322</v>
      </c>
      <c r="B338">
        <v>-2958.70283950973</v>
      </c>
      <c r="C338">
        <v>-2958.6383990925801</v>
      </c>
      <c r="D338">
        <v>-2958.5668251278398</v>
      </c>
      <c r="E338" t="s">
        <v>1323</v>
      </c>
      <c r="F338" t="s">
        <v>1324</v>
      </c>
      <c r="G338" t="s">
        <v>1325</v>
      </c>
      <c r="H338" t="str">
        <f t="shared" si="5"/>
        <v>singlet</v>
      </c>
      <c r="I338" t="s">
        <v>241</v>
      </c>
    </row>
    <row r="339" spans="1:9" x14ac:dyDescent="0.25">
      <c r="A339" t="s">
        <v>1326</v>
      </c>
      <c r="E339" t="s">
        <v>1327</v>
      </c>
      <c r="F339" t="s">
        <v>1328</v>
      </c>
      <c r="G339" t="s">
        <v>1325</v>
      </c>
      <c r="H339" t="str">
        <f t="shared" si="5"/>
        <v/>
      </c>
      <c r="I339" t="s">
        <v>241</v>
      </c>
    </row>
    <row r="340" spans="1:9" x14ac:dyDescent="0.25">
      <c r="A340" t="s">
        <v>1329</v>
      </c>
      <c r="B340">
        <v>-2651.9751547096598</v>
      </c>
      <c r="E340" t="s">
        <v>1330</v>
      </c>
      <c r="F340" t="s">
        <v>1331</v>
      </c>
      <c r="G340" t="s">
        <v>1332</v>
      </c>
      <c r="H340" t="str">
        <f t="shared" si="5"/>
        <v/>
      </c>
      <c r="I340" t="s">
        <v>77</v>
      </c>
    </row>
    <row r="341" spans="1:9" x14ac:dyDescent="0.25">
      <c r="A341" t="s">
        <v>1333</v>
      </c>
      <c r="B341">
        <v>-2730.4663701264599</v>
      </c>
      <c r="C341">
        <v>-2730.4415400923799</v>
      </c>
      <c r="D341">
        <v>-2730.37540572539</v>
      </c>
      <c r="E341" t="s">
        <v>1334</v>
      </c>
      <c r="F341" t="s">
        <v>485</v>
      </c>
      <c r="H341" t="str">
        <f t="shared" si="5"/>
        <v>singlet</v>
      </c>
    </row>
    <row r="342" spans="1:9" x14ac:dyDescent="0.25">
      <c r="A342" t="s">
        <v>1335</v>
      </c>
      <c r="B342">
        <v>-3249.4063800594399</v>
      </c>
      <c r="C342">
        <v>-3249.3464328683899</v>
      </c>
      <c r="D342">
        <v>-3249.2771359368999</v>
      </c>
      <c r="E342" t="s">
        <v>1336</v>
      </c>
      <c r="F342" t="s">
        <v>1337</v>
      </c>
      <c r="G342" t="s">
        <v>1338</v>
      </c>
      <c r="H342" t="str">
        <f t="shared" si="5"/>
        <v>singlet</v>
      </c>
      <c r="I342" t="s">
        <v>77</v>
      </c>
    </row>
    <row r="343" spans="1:9" x14ac:dyDescent="0.25">
      <c r="A343" t="s">
        <v>1339</v>
      </c>
      <c r="B343">
        <v>-4867.1973069937303</v>
      </c>
      <c r="C343">
        <v>-4867.1501734597696</v>
      </c>
      <c r="D343">
        <v>-4867.08979193511</v>
      </c>
      <c r="E343" t="s">
        <v>1340</v>
      </c>
      <c r="F343" t="s">
        <v>1341</v>
      </c>
      <c r="G343" t="s">
        <v>1342</v>
      </c>
      <c r="H343" t="str">
        <f t="shared" si="5"/>
        <v>singlet</v>
      </c>
      <c r="I343" t="s">
        <v>82</v>
      </c>
    </row>
    <row r="344" spans="1:9" x14ac:dyDescent="0.25">
      <c r="A344" t="s">
        <v>1343</v>
      </c>
      <c r="E344" t="s">
        <v>1344</v>
      </c>
      <c r="F344" t="s">
        <v>1345</v>
      </c>
      <c r="G344" t="s">
        <v>1346</v>
      </c>
      <c r="H344" t="str">
        <f t="shared" si="5"/>
        <v/>
      </c>
      <c r="I344" t="s">
        <v>286</v>
      </c>
    </row>
    <row r="345" spans="1:9" x14ac:dyDescent="0.25">
      <c r="A345" t="s">
        <v>1347</v>
      </c>
      <c r="B345">
        <v>-3119.77741406623</v>
      </c>
      <c r="C345">
        <v>-3119.7576484370102</v>
      </c>
      <c r="D345">
        <v>-3119.69333913933</v>
      </c>
      <c r="E345" t="s">
        <v>1348</v>
      </c>
      <c r="F345" t="s">
        <v>1349</v>
      </c>
      <c r="G345" t="s">
        <v>1350</v>
      </c>
      <c r="H345" t="str">
        <f t="shared" si="5"/>
        <v>singlet</v>
      </c>
      <c r="I345" t="s">
        <v>1351</v>
      </c>
    </row>
    <row r="346" spans="1:9" x14ac:dyDescent="0.25">
      <c r="A346" t="s">
        <v>1352</v>
      </c>
      <c r="B346">
        <v>-3283.2596870085399</v>
      </c>
      <c r="C346">
        <v>-3283.2363320685799</v>
      </c>
      <c r="D346">
        <v>-3283.1797352968902</v>
      </c>
      <c r="E346" t="s">
        <v>1353</v>
      </c>
      <c r="F346" t="s">
        <v>1354</v>
      </c>
      <c r="G346" t="s">
        <v>1350</v>
      </c>
      <c r="H346" t="str">
        <f t="shared" si="5"/>
        <v>singlet</v>
      </c>
      <c r="I346" t="s">
        <v>1351</v>
      </c>
    </row>
    <row r="347" spans="1:9" x14ac:dyDescent="0.25">
      <c r="A347" t="s">
        <v>1355</v>
      </c>
      <c r="B347">
        <v>-2753.3065282153002</v>
      </c>
      <c r="C347">
        <v>-2753.2374936851902</v>
      </c>
      <c r="D347">
        <v>-2753.16513365643</v>
      </c>
      <c r="E347" t="s">
        <v>1356</v>
      </c>
      <c r="F347" t="s">
        <v>1357</v>
      </c>
      <c r="G347" t="s">
        <v>1358</v>
      </c>
      <c r="H347" t="str">
        <f t="shared" si="5"/>
        <v>singlet</v>
      </c>
      <c r="I347" t="s">
        <v>14</v>
      </c>
    </row>
    <row r="348" spans="1:9" x14ac:dyDescent="0.25">
      <c r="A348" t="s">
        <v>1359</v>
      </c>
      <c r="B348">
        <v>-2805.1779093805499</v>
      </c>
      <c r="C348">
        <v>-2805.10970339187</v>
      </c>
      <c r="D348">
        <v>-2805.0352693677901</v>
      </c>
      <c r="E348" t="s">
        <v>1360</v>
      </c>
      <c r="F348" t="s">
        <v>1361</v>
      </c>
      <c r="G348" t="s">
        <v>1362</v>
      </c>
      <c r="H348" t="str">
        <f t="shared" si="5"/>
        <v>singlet</v>
      </c>
      <c r="I348" t="s">
        <v>14</v>
      </c>
    </row>
    <row r="349" spans="1:9" x14ac:dyDescent="0.25">
      <c r="A349" t="s">
        <v>1363</v>
      </c>
      <c r="B349">
        <v>-2774.9136466792702</v>
      </c>
      <c r="C349">
        <v>-2774.8484341765202</v>
      </c>
      <c r="D349">
        <v>-2774.7764440567298</v>
      </c>
      <c r="E349" t="s">
        <v>1364</v>
      </c>
      <c r="F349" t="s">
        <v>1365</v>
      </c>
      <c r="G349" t="s">
        <v>1362</v>
      </c>
      <c r="H349" t="str">
        <f t="shared" si="5"/>
        <v>singlet</v>
      </c>
      <c r="I349" t="s">
        <v>14</v>
      </c>
    </row>
    <row r="350" spans="1:9" x14ac:dyDescent="0.25">
      <c r="A350" t="s">
        <v>1366</v>
      </c>
      <c r="B350">
        <v>-2515.29839357011</v>
      </c>
      <c r="C350">
        <v>-2515.2258629593898</v>
      </c>
      <c r="D350">
        <v>-2515.1516873965702</v>
      </c>
      <c r="E350" t="s">
        <v>1367</v>
      </c>
      <c r="F350" t="s">
        <v>1368</v>
      </c>
      <c r="G350" t="s">
        <v>1369</v>
      </c>
      <c r="H350" t="str">
        <f t="shared" si="5"/>
        <v>singlet</v>
      </c>
      <c r="I350" t="s">
        <v>14</v>
      </c>
    </row>
    <row r="351" spans="1:9" x14ac:dyDescent="0.25">
      <c r="A351" t="s">
        <v>1370</v>
      </c>
      <c r="B351">
        <v>-2614.49461118717</v>
      </c>
      <c r="C351">
        <v>-2614.4222317794201</v>
      </c>
      <c r="D351">
        <v>-2614.3481527892</v>
      </c>
      <c r="E351" t="s">
        <v>1371</v>
      </c>
      <c r="F351" t="s">
        <v>1372</v>
      </c>
      <c r="G351" t="s">
        <v>1369</v>
      </c>
      <c r="H351" t="str">
        <f t="shared" si="5"/>
        <v>singlet</v>
      </c>
      <c r="I351" t="s">
        <v>14</v>
      </c>
    </row>
    <row r="352" spans="1:9" x14ac:dyDescent="0.25">
      <c r="A352" t="s">
        <v>1373</v>
      </c>
      <c r="B352">
        <v>-2974.77261970159</v>
      </c>
      <c r="C352">
        <v>-2974.69954368559</v>
      </c>
      <c r="D352">
        <v>-2974.62605035862</v>
      </c>
      <c r="E352" t="s">
        <v>1374</v>
      </c>
      <c r="F352" t="s">
        <v>1375</v>
      </c>
      <c r="G352" t="s">
        <v>1369</v>
      </c>
      <c r="H352" t="str">
        <f t="shared" si="5"/>
        <v>singlet</v>
      </c>
      <c r="I352" t="s">
        <v>14</v>
      </c>
    </row>
    <row r="353" spans="1:9" x14ac:dyDescent="0.25">
      <c r="A353" t="s">
        <v>1376</v>
      </c>
      <c r="B353">
        <v>-4351.7680766110198</v>
      </c>
      <c r="C353">
        <v>-4351.7091272544803</v>
      </c>
      <c r="D353">
        <v>-4351.6406883987402</v>
      </c>
      <c r="E353" t="s">
        <v>1377</v>
      </c>
      <c r="F353" t="s">
        <v>1378</v>
      </c>
      <c r="G353" t="s">
        <v>1379</v>
      </c>
      <c r="H353" t="str">
        <f t="shared" si="5"/>
        <v>singlet</v>
      </c>
      <c r="I353" t="s">
        <v>77</v>
      </c>
    </row>
    <row r="354" spans="1:9" x14ac:dyDescent="0.25">
      <c r="A354" t="s">
        <v>1380</v>
      </c>
      <c r="B354">
        <v>-2598.2781330314001</v>
      </c>
      <c r="C354">
        <v>-2598.20381961472</v>
      </c>
      <c r="D354">
        <v>-2598.13391674988</v>
      </c>
      <c r="E354" t="s">
        <v>1381</v>
      </c>
      <c r="F354" t="s">
        <v>1382</v>
      </c>
      <c r="G354" t="s">
        <v>1383</v>
      </c>
      <c r="H354" t="str">
        <f t="shared" si="5"/>
        <v>singlet</v>
      </c>
      <c r="I354" t="s">
        <v>14</v>
      </c>
    </row>
    <row r="355" spans="1:9" x14ac:dyDescent="0.25">
      <c r="A355" t="s">
        <v>1384</v>
      </c>
      <c r="B355">
        <v>-2382.8478499324301</v>
      </c>
      <c r="C355">
        <v>-2382.7824909870601</v>
      </c>
      <c r="D355">
        <v>-2382.70393604842</v>
      </c>
      <c r="E355" t="s">
        <v>1385</v>
      </c>
      <c r="F355" t="s">
        <v>1386</v>
      </c>
      <c r="G355" t="s">
        <v>1387</v>
      </c>
      <c r="H355" t="str">
        <f t="shared" si="5"/>
        <v>singlet</v>
      </c>
      <c r="I355" t="s">
        <v>228</v>
      </c>
    </row>
    <row r="356" spans="1:9" x14ac:dyDescent="0.25">
      <c r="A356" t="s">
        <v>1388</v>
      </c>
      <c r="B356">
        <v>-4587.3316532620202</v>
      </c>
      <c r="C356">
        <v>-4587.2730540184002</v>
      </c>
      <c r="D356">
        <v>-4587.2051634417503</v>
      </c>
      <c r="E356" t="s">
        <v>1389</v>
      </c>
      <c r="F356" t="s">
        <v>1390</v>
      </c>
      <c r="G356" t="s">
        <v>1391</v>
      </c>
      <c r="H356" t="str">
        <f t="shared" si="5"/>
        <v>singlet</v>
      </c>
      <c r="I356" t="s">
        <v>262</v>
      </c>
    </row>
    <row r="357" spans="1:9" x14ac:dyDescent="0.25">
      <c r="A357" t="s">
        <v>1392</v>
      </c>
      <c r="E357" t="s">
        <v>1393</v>
      </c>
      <c r="F357" t="s">
        <v>1394</v>
      </c>
      <c r="G357" t="s">
        <v>1395</v>
      </c>
      <c r="H357" t="str">
        <f t="shared" si="5"/>
        <v/>
      </c>
      <c r="I357" t="s">
        <v>262</v>
      </c>
    </row>
    <row r="358" spans="1:9" x14ac:dyDescent="0.25">
      <c r="A358" t="s">
        <v>1396</v>
      </c>
      <c r="B358">
        <v>-5634.1354161613699</v>
      </c>
      <c r="C358">
        <v>-5634.1506553626596</v>
      </c>
      <c r="D358">
        <v>-5634.1811835152403</v>
      </c>
      <c r="E358" t="s">
        <v>1397</v>
      </c>
      <c r="F358" t="s">
        <v>1398</v>
      </c>
      <c r="G358" t="s">
        <v>1395</v>
      </c>
      <c r="H358" t="str">
        <f t="shared" si="5"/>
        <v>quintet</v>
      </c>
      <c r="I358" t="s">
        <v>262</v>
      </c>
    </row>
    <row r="359" spans="1:9" x14ac:dyDescent="0.25">
      <c r="A359" t="s">
        <v>1399</v>
      </c>
      <c r="B359">
        <v>-5634.1354653262497</v>
      </c>
      <c r="C359">
        <v>-5634.1392969931403</v>
      </c>
      <c r="D359">
        <v>-5634.1810677632202</v>
      </c>
      <c r="E359" t="s">
        <v>1400</v>
      </c>
      <c r="F359" t="s">
        <v>1401</v>
      </c>
      <c r="G359" t="s">
        <v>1395</v>
      </c>
      <c r="H359" t="str">
        <f t="shared" si="5"/>
        <v>quintet</v>
      </c>
      <c r="I359" t="s">
        <v>262</v>
      </c>
    </row>
    <row r="360" spans="1:9" x14ac:dyDescent="0.25">
      <c r="A360" t="s">
        <v>1402</v>
      </c>
      <c r="B360">
        <v>-3550.08644922658</v>
      </c>
      <c r="C360">
        <v>-3550.0251620020599</v>
      </c>
      <c r="D360">
        <v>-3549.95764188966</v>
      </c>
      <c r="E360" t="s">
        <v>1403</v>
      </c>
      <c r="F360" t="s">
        <v>1404</v>
      </c>
      <c r="G360" t="s">
        <v>1405</v>
      </c>
      <c r="H360" t="str">
        <f t="shared" si="5"/>
        <v>singlet</v>
      </c>
      <c r="I360" t="s">
        <v>77</v>
      </c>
    </row>
    <row r="361" spans="1:9" x14ac:dyDescent="0.25">
      <c r="A361" t="s">
        <v>1406</v>
      </c>
      <c r="B361">
        <v>-3598.7325342414701</v>
      </c>
      <c r="C361">
        <v>-3598.6929232523098</v>
      </c>
      <c r="D361">
        <v>-3598.6721507218499</v>
      </c>
      <c r="E361" t="s">
        <v>1407</v>
      </c>
      <c r="F361" t="s">
        <v>1408</v>
      </c>
      <c r="G361" t="s">
        <v>1409</v>
      </c>
      <c r="H361" t="str">
        <f t="shared" si="5"/>
        <v>singlet</v>
      </c>
      <c r="I361" t="s">
        <v>113</v>
      </c>
    </row>
    <row r="362" spans="1:9" x14ac:dyDescent="0.25">
      <c r="A362" t="s">
        <v>1410</v>
      </c>
      <c r="B362">
        <v>-4207.1728191618104</v>
      </c>
      <c r="C362">
        <v>-4207.1123586273297</v>
      </c>
      <c r="D362">
        <v>-4207.0456818107396</v>
      </c>
      <c r="E362" t="s">
        <v>1411</v>
      </c>
      <c r="F362" t="s">
        <v>1412</v>
      </c>
      <c r="G362" t="s">
        <v>1413</v>
      </c>
      <c r="H362" t="str">
        <f t="shared" si="5"/>
        <v>singlet</v>
      </c>
      <c r="I362" t="s">
        <v>1414</v>
      </c>
    </row>
    <row r="363" spans="1:9" x14ac:dyDescent="0.25">
      <c r="A363" t="s">
        <v>1415</v>
      </c>
      <c r="E363" t="s">
        <v>1416</v>
      </c>
      <c r="F363" t="s">
        <v>1417</v>
      </c>
      <c r="G363" t="s">
        <v>1418</v>
      </c>
      <c r="H363" t="str">
        <f t="shared" si="5"/>
        <v/>
      </c>
      <c r="I363" t="s">
        <v>1294</v>
      </c>
    </row>
    <row r="364" spans="1:9" x14ac:dyDescent="0.25">
      <c r="A364" t="s">
        <v>1419</v>
      </c>
      <c r="B364">
        <v>-3282.74670211885</v>
      </c>
      <c r="C364">
        <v>-3282.67570621197</v>
      </c>
      <c r="E364" t="s">
        <v>1420</v>
      </c>
      <c r="F364" t="s">
        <v>1421</v>
      </c>
      <c r="G364" t="s">
        <v>654</v>
      </c>
      <c r="H364" t="str">
        <f t="shared" si="5"/>
        <v/>
      </c>
      <c r="I364" t="s">
        <v>14</v>
      </c>
    </row>
    <row r="365" spans="1:9" x14ac:dyDescent="0.25">
      <c r="A365" t="s">
        <v>1422</v>
      </c>
      <c r="B365">
        <v>-2997.59138215239</v>
      </c>
      <c r="C365">
        <v>-2997.5233467736698</v>
      </c>
      <c r="D365">
        <v>-2997.44972225021</v>
      </c>
      <c r="E365" t="s">
        <v>1423</v>
      </c>
      <c r="F365" t="s">
        <v>1424</v>
      </c>
      <c r="G365" t="s">
        <v>1425</v>
      </c>
      <c r="H365" t="str">
        <f t="shared" si="5"/>
        <v>singlet</v>
      </c>
      <c r="I365" t="s">
        <v>241</v>
      </c>
    </row>
    <row r="366" spans="1:9" x14ac:dyDescent="0.25">
      <c r="A366" t="s">
        <v>1426</v>
      </c>
      <c r="B366">
        <v>-8908.2391788915393</v>
      </c>
      <c r="C366">
        <v>-8908.2181007473191</v>
      </c>
      <c r="D366">
        <v>-8908.1558194982899</v>
      </c>
      <c r="E366" t="s">
        <v>1427</v>
      </c>
      <c r="F366" t="s">
        <v>1428</v>
      </c>
      <c r="G366" t="s">
        <v>1429</v>
      </c>
      <c r="H366" t="str">
        <f t="shared" si="5"/>
        <v>singlet</v>
      </c>
      <c r="I366" t="s">
        <v>77</v>
      </c>
    </row>
    <row r="367" spans="1:9" x14ac:dyDescent="0.25">
      <c r="A367" t="s">
        <v>1430</v>
      </c>
      <c r="E367" t="s">
        <v>1431</v>
      </c>
      <c r="F367" t="s">
        <v>1432</v>
      </c>
      <c r="G367" t="s">
        <v>1433</v>
      </c>
      <c r="H367" t="str">
        <f t="shared" si="5"/>
        <v/>
      </c>
      <c r="I367" t="s">
        <v>1092</v>
      </c>
    </row>
    <row r="368" spans="1:9" x14ac:dyDescent="0.25">
      <c r="A368" t="s">
        <v>1434</v>
      </c>
      <c r="E368" t="s">
        <v>1435</v>
      </c>
      <c r="F368" t="s">
        <v>1436</v>
      </c>
      <c r="G368" t="s">
        <v>1437</v>
      </c>
      <c r="H368" t="str">
        <f t="shared" si="5"/>
        <v/>
      </c>
      <c r="I368" t="s">
        <v>28</v>
      </c>
    </row>
    <row r="369" spans="1:9" x14ac:dyDescent="0.25">
      <c r="A369" t="s">
        <v>1438</v>
      </c>
      <c r="B369">
        <v>-3583.47572852238</v>
      </c>
      <c r="C369">
        <v>-3583.4146484867201</v>
      </c>
      <c r="D369">
        <v>-3583.3642236846299</v>
      </c>
      <c r="E369" t="s">
        <v>1439</v>
      </c>
      <c r="F369" t="s">
        <v>1440</v>
      </c>
      <c r="G369" t="s">
        <v>1441</v>
      </c>
      <c r="H369" t="str">
        <f t="shared" si="5"/>
        <v>singlet</v>
      </c>
      <c r="I369" t="s">
        <v>1092</v>
      </c>
    </row>
    <row r="370" spans="1:9" x14ac:dyDescent="0.25">
      <c r="A370" t="s">
        <v>1442</v>
      </c>
      <c r="B370">
        <v>-2130.2876429996199</v>
      </c>
      <c r="E370" t="s">
        <v>1443</v>
      </c>
      <c r="F370" t="s">
        <v>1444</v>
      </c>
      <c r="G370" t="s">
        <v>1445</v>
      </c>
      <c r="H370" t="str">
        <f t="shared" si="5"/>
        <v/>
      </c>
      <c r="I370" t="s">
        <v>170</v>
      </c>
    </row>
    <row r="371" spans="1:9" x14ac:dyDescent="0.25">
      <c r="A371" t="s">
        <v>1446</v>
      </c>
      <c r="B371">
        <v>-13981.658532458099</v>
      </c>
      <c r="C371">
        <v>-13981.5941331349</v>
      </c>
      <c r="D371">
        <v>-13981.5264457869</v>
      </c>
      <c r="E371" t="s">
        <v>1447</v>
      </c>
      <c r="F371" t="s">
        <v>1448</v>
      </c>
      <c r="G371" t="s">
        <v>1449</v>
      </c>
      <c r="H371" t="str">
        <f t="shared" si="5"/>
        <v>singlet</v>
      </c>
      <c r="I371" t="s">
        <v>1450</v>
      </c>
    </row>
    <row r="372" spans="1:9" x14ac:dyDescent="0.25">
      <c r="A372" t="s">
        <v>1451</v>
      </c>
      <c r="C372">
        <v>-3977.9832973585098</v>
      </c>
      <c r="D372">
        <v>-3978.0128426901501</v>
      </c>
      <c r="E372" t="s">
        <v>1452</v>
      </c>
      <c r="F372" t="s">
        <v>1453</v>
      </c>
      <c r="G372" t="s">
        <v>1454</v>
      </c>
      <c r="H372" t="str">
        <f t="shared" si="5"/>
        <v/>
      </c>
      <c r="I372" t="s">
        <v>77</v>
      </c>
    </row>
  </sheetData>
  <autoFilter ref="A1:J37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8BE3C-F636-4871-9265-1F7565E517D1}">
  <dimension ref="A1:E277"/>
  <sheetViews>
    <sheetView workbookViewId="0">
      <selection activeCell="C7" sqref="C7"/>
    </sheetView>
  </sheetViews>
  <sheetFormatPr defaultRowHeight="15" x14ac:dyDescent="0.25"/>
  <cols>
    <col min="1" max="1" width="63.28515625" bestFit="1" customWidth="1"/>
    <col min="2" max="2" width="45.140625" bestFit="1" customWidth="1"/>
    <col min="3" max="3" width="18.28515625" customWidth="1"/>
    <col min="4" max="4" width="45.140625" bestFit="1" customWidth="1"/>
  </cols>
  <sheetData>
    <row r="1" spans="1:5" x14ac:dyDescent="0.25">
      <c r="A1" t="s">
        <v>3</v>
      </c>
      <c r="B1" t="s">
        <v>4</v>
      </c>
      <c r="C1" t="s">
        <v>1459</v>
      </c>
      <c r="D1" t="s">
        <v>1460</v>
      </c>
    </row>
    <row r="2" spans="1:5" x14ac:dyDescent="0.25">
      <c r="A2" t="s">
        <v>470</v>
      </c>
      <c r="B2" t="s">
        <v>286</v>
      </c>
      <c r="C2">
        <v>7</v>
      </c>
      <c r="D2" t="b">
        <v>1</v>
      </c>
    </row>
    <row r="3" spans="1:5" x14ac:dyDescent="0.25">
      <c r="A3" t="s">
        <v>426</v>
      </c>
      <c r="B3" t="s">
        <v>427</v>
      </c>
      <c r="C3">
        <v>5</v>
      </c>
      <c r="D3" t="b">
        <v>1</v>
      </c>
    </row>
    <row r="4" spans="1:5" x14ac:dyDescent="0.25">
      <c r="A4" t="s">
        <v>723</v>
      </c>
      <c r="B4" t="s">
        <v>228</v>
      </c>
      <c r="C4">
        <v>5</v>
      </c>
      <c r="D4" t="b">
        <v>1</v>
      </c>
    </row>
    <row r="5" spans="1:5" x14ac:dyDescent="0.25">
      <c r="A5" t="s">
        <v>1041</v>
      </c>
      <c r="B5" t="s">
        <v>127</v>
      </c>
      <c r="C5">
        <v>5</v>
      </c>
      <c r="D5" t="b">
        <v>1</v>
      </c>
    </row>
    <row r="6" spans="1:5" x14ac:dyDescent="0.25">
      <c r="A6" t="s">
        <v>112</v>
      </c>
      <c r="B6" t="s">
        <v>113</v>
      </c>
      <c r="C6">
        <v>4</v>
      </c>
      <c r="D6" t="b">
        <v>1</v>
      </c>
    </row>
    <row r="7" spans="1:5" x14ac:dyDescent="0.25">
      <c r="A7" t="s">
        <v>739</v>
      </c>
      <c r="B7" t="s">
        <v>740</v>
      </c>
      <c r="C7">
        <v>4</v>
      </c>
    </row>
    <row r="8" spans="1:5" x14ac:dyDescent="0.25">
      <c r="A8" t="s">
        <v>41</v>
      </c>
      <c r="B8" t="s">
        <v>42</v>
      </c>
      <c r="C8">
        <v>3</v>
      </c>
      <c r="D8" t="b">
        <v>1</v>
      </c>
      <c r="E8" t="s">
        <v>1616</v>
      </c>
    </row>
    <row r="9" spans="1:5" x14ac:dyDescent="0.25">
      <c r="A9" t="s">
        <v>202</v>
      </c>
      <c r="B9" t="s">
        <v>19</v>
      </c>
      <c r="C9">
        <v>3</v>
      </c>
      <c r="D9" t="b">
        <v>1</v>
      </c>
      <c r="E9" t="s">
        <v>1617</v>
      </c>
    </row>
    <row r="10" spans="1:5" x14ac:dyDescent="0.25">
      <c r="A10" t="s">
        <v>285</v>
      </c>
      <c r="B10" t="s">
        <v>286</v>
      </c>
      <c r="C10">
        <v>3</v>
      </c>
      <c r="D10" t="b">
        <v>1</v>
      </c>
    </row>
    <row r="11" spans="1:5" x14ac:dyDescent="0.25">
      <c r="A11" t="s">
        <v>315</v>
      </c>
      <c r="B11" t="s">
        <v>108</v>
      </c>
      <c r="C11">
        <v>3</v>
      </c>
    </row>
    <row r="12" spans="1:5" x14ac:dyDescent="0.25">
      <c r="A12" t="s">
        <v>345</v>
      </c>
      <c r="B12" t="s">
        <v>346</v>
      </c>
      <c r="C12">
        <v>3</v>
      </c>
    </row>
    <row r="13" spans="1:5" x14ac:dyDescent="0.25">
      <c r="A13" t="s">
        <v>372</v>
      </c>
      <c r="B13" t="s">
        <v>286</v>
      </c>
      <c r="C13">
        <v>3</v>
      </c>
    </row>
    <row r="14" spans="1:5" x14ac:dyDescent="0.25">
      <c r="A14" t="s">
        <v>399</v>
      </c>
      <c r="B14" t="s">
        <v>108</v>
      </c>
      <c r="C14">
        <v>3</v>
      </c>
    </row>
    <row r="15" spans="1:5" x14ac:dyDescent="0.25">
      <c r="A15" t="s">
        <v>815</v>
      </c>
      <c r="B15" t="s">
        <v>77</v>
      </c>
      <c r="C15">
        <v>3</v>
      </c>
    </row>
    <row r="16" spans="1:5" x14ac:dyDescent="0.25">
      <c r="A16" t="s">
        <v>942</v>
      </c>
      <c r="B16" t="s">
        <v>137</v>
      </c>
      <c r="C16">
        <v>3</v>
      </c>
    </row>
    <row r="17" spans="1:3" x14ac:dyDescent="0.25">
      <c r="A17" t="s">
        <v>1027</v>
      </c>
      <c r="B17" t="s">
        <v>19</v>
      </c>
      <c r="C17">
        <v>3</v>
      </c>
    </row>
    <row r="18" spans="1:3" x14ac:dyDescent="0.25">
      <c r="A18" t="s">
        <v>1096</v>
      </c>
      <c r="B18" t="s">
        <v>931</v>
      </c>
      <c r="C18">
        <v>3</v>
      </c>
    </row>
    <row r="19" spans="1:3" x14ac:dyDescent="0.25">
      <c r="A19" t="s">
        <v>1158</v>
      </c>
      <c r="B19" t="s">
        <v>77</v>
      </c>
      <c r="C19">
        <v>3</v>
      </c>
    </row>
    <row r="20" spans="1:3" x14ac:dyDescent="0.25">
      <c r="A20" t="s">
        <v>1369</v>
      </c>
      <c r="B20" t="s">
        <v>14</v>
      </c>
      <c r="C20">
        <v>3</v>
      </c>
    </row>
    <row r="21" spans="1:3" x14ac:dyDescent="0.25">
      <c r="A21" t="s">
        <v>1395</v>
      </c>
      <c r="B21" t="s">
        <v>262</v>
      </c>
      <c r="C21">
        <v>3</v>
      </c>
    </row>
    <row r="22" spans="1:3" x14ac:dyDescent="0.25">
      <c r="A22" t="s">
        <v>136</v>
      </c>
      <c r="B22" t="s">
        <v>137</v>
      </c>
      <c r="C22">
        <v>2</v>
      </c>
    </row>
    <row r="23" spans="1:3" x14ac:dyDescent="0.25">
      <c r="A23" t="s">
        <v>174</v>
      </c>
      <c r="B23" t="s">
        <v>77</v>
      </c>
      <c r="C23">
        <v>2</v>
      </c>
    </row>
    <row r="24" spans="1:3" x14ac:dyDescent="0.25">
      <c r="A24" t="s">
        <v>300</v>
      </c>
      <c r="B24" t="s">
        <v>137</v>
      </c>
      <c r="C24">
        <v>2</v>
      </c>
    </row>
    <row r="25" spans="1:3" x14ac:dyDescent="0.25">
      <c r="A25" t="s">
        <v>311</v>
      </c>
      <c r="B25" t="s">
        <v>137</v>
      </c>
      <c r="C25">
        <v>2</v>
      </c>
    </row>
    <row r="26" spans="1:3" x14ac:dyDescent="0.25">
      <c r="A26" t="s">
        <v>325</v>
      </c>
      <c r="B26" t="s">
        <v>326</v>
      </c>
      <c r="C26">
        <v>2</v>
      </c>
    </row>
    <row r="27" spans="1:3" x14ac:dyDescent="0.25">
      <c r="A27" t="s">
        <v>338</v>
      </c>
      <c r="B27" t="s">
        <v>77</v>
      </c>
      <c r="C27">
        <v>2</v>
      </c>
    </row>
    <row r="28" spans="1:3" x14ac:dyDescent="0.25">
      <c r="A28" t="s">
        <v>368</v>
      </c>
      <c r="B28" t="s">
        <v>286</v>
      </c>
      <c r="C28">
        <v>2</v>
      </c>
    </row>
    <row r="29" spans="1:3" x14ac:dyDescent="0.25">
      <c r="A29" t="s">
        <v>409</v>
      </c>
      <c r="B29" t="s">
        <v>137</v>
      </c>
      <c r="C29">
        <v>2</v>
      </c>
    </row>
    <row r="30" spans="1:3" x14ac:dyDescent="0.25">
      <c r="A30" t="s">
        <v>444</v>
      </c>
      <c r="B30" t="s">
        <v>286</v>
      </c>
      <c r="C30">
        <v>2</v>
      </c>
    </row>
    <row r="31" spans="1:3" x14ac:dyDescent="0.25">
      <c r="A31" t="s">
        <v>459</v>
      </c>
      <c r="B31" t="s">
        <v>276</v>
      </c>
      <c r="C31">
        <v>2</v>
      </c>
    </row>
    <row r="32" spans="1:3" x14ac:dyDescent="0.25">
      <c r="A32" t="s">
        <v>507</v>
      </c>
      <c r="B32" t="s">
        <v>77</v>
      </c>
      <c r="C32">
        <v>2</v>
      </c>
    </row>
    <row r="33" spans="1:3" x14ac:dyDescent="0.25">
      <c r="A33" t="s">
        <v>522</v>
      </c>
      <c r="B33" t="s">
        <v>14</v>
      </c>
      <c r="C33">
        <v>2</v>
      </c>
    </row>
    <row r="34" spans="1:3" x14ac:dyDescent="0.25">
      <c r="A34" t="s">
        <v>559</v>
      </c>
      <c r="B34" t="s">
        <v>560</v>
      </c>
      <c r="C34">
        <v>2</v>
      </c>
    </row>
    <row r="35" spans="1:3" x14ac:dyDescent="0.25">
      <c r="A35" t="s">
        <v>575</v>
      </c>
      <c r="B35" t="s">
        <v>161</v>
      </c>
      <c r="C35">
        <v>2</v>
      </c>
    </row>
    <row r="36" spans="1:3" x14ac:dyDescent="0.25">
      <c r="A36" t="s">
        <v>582</v>
      </c>
      <c r="B36" t="s">
        <v>14</v>
      </c>
      <c r="C36">
        <v>2</v>
      </c>
    </row>
    <row r="37" spans="1:3" x14ac:dyDescent="0.25">
      <c r="A37" t="s">
        <v>617</v>
      </c>
      <c r="B37" t="s">
        <v>77</v>
      </c>
      <c r="C37">
        <v>2</v>
      </c>
    </row>
    <row r="38" spans="1:3" x14ac:dyDescent="0.25">
      <c r="A38" t="s">
        <v>624</v>
      </c>
      <c r="B38" t="s">
        <v>560</v>
      </c>
      <c r="C38">
        <v>2</v>
      </c>
    </row>
    <row r="39" spans="1:3" x14ac:dyDescent="0.25">
      <c r="A39" t="s">
        <v>654</v>
      </c>
      <c r="B39" t="s">
        <v>14</v>
      </c>
      <c r="C39">
        <v>2</v>
      </c>
    </row>
    <row r="40" spans="1:3" x14ac:dyDescent="0.25">
      <c r="A40" t="s">
        <v>670</v>
      </c>
      <c r="B40" t="s">
        <v>262</v>
      </c>
      <c r="C40">
        <v>2</v>
      </c>
    </row>
    <row r="41" spans="1:3" x14ac:dyDescent="0.25">
      <c r="A41" t="s">
        <v>689</v>
      </c>
      <c r="B41" t="s">
        <v>14</v>
      </c>
      <c r="C41">
        <v>2</v>
      </c>
    </row>
    <row r="42" spans="1:3" x14ac:dyDescent="0.25">
      <c r="A42" t="s">
        <v>696</v>
      </c>
      <c r="B42" t="s">
        <v>14</v>
      </c>
      <c r="C42">
        <v>2</v>
      </c>
    </row>
    <row r="43" spans="1:3" x14ac:dyDescent="0.25">
      <c r="A43" t="s">
        <v>782</v>
      </c>
      <c r="B43" t="s">
        <v>783</v>
      </c>
      <c r="C43">
        <v>2</v>
      </c>
    </row>
    <row r="44" spans="1:3" x14ac:dyDescent="0.25">
      <c r="A44" t="s">
        <v>833</v>
      </c>
      <c r="B44" t="s">
        <v>91</v>
      </c>
      <c r="C44">
        <v>2</v>
      </c>
    </row>
    <row r="45" spans="1:3" x14ac:dyDescent="0.25">
      <c r="A45" t="s">
        <v>851</v>
      </c>
      <c r="B45" t="s">
        <v>19</v>
      </c>
      <c r="C45">
        <v>2</v>
      </c>
    </row>
    <row r="46" spans="1:3" x14ac:dyDescent="0.25">
      <c r="A46" t="s">
        <v>870</v>
      </c>
      <c r="B46" t="s">
        <v>871</v>
      </c>
      <c r="C46">
        <v>2</v>
      </c>
    </row>
    <row r="47" spans="1:3" x14ac:dyDescent="0.25">
      <c r="A47" t="s">
        <v>881</v>
      </c>
      <c r="B47" t="s">
        <v>427</v>
      </c>
      <c r="C47">
        <v>2</v>
      </c>
    </row>
    <row r="48" spans="1:3" x14ac:dyDescent="0.25">
      <c r="A48" t="s">
        <v>899</v>
      </c>
      <c r="B48" t="s">
        <v>900</v>
      </c>
      <c r="C48">
        <v>2</v>
      </c>
    </row>
    <row r="49" spans="1:3" x14ac:dyDescent="0.25">
      <c r="A49" t="s">
        <v>915</v>
      </c>
      <c r="B49" t="s">
        <v>132</v>
      </c>
      <c r="C49">
        <v>2</v>
      </c>
    </row>
    <row r="50" spans="1:3" x14ac:dyDescent="0.25">
      <c r="A50" t="s">
        <v>930</v>
      </c>
      <c r="B50" t="s">
        <v>931</v>
      </c>
      <c r="C50">
        <v>2</v>
      </c>
    </row>
    <row r="51" spans="1:3" x14ac:dyDescent="0.25">
      <c r="A51" t="s">
        <v>965</v>
      </c>
      <c r="B51" t="s">
        <v>931</v>
      </c>
      <c r="C51">
        <v>2</v>
      </c>
    </row>
    <row r="52" spans="1:3" x14ac:dyDescent="0.25">
      <c r="A52" t="s">
        <v>1015</v>
      </c>
      <c r="B52" t="s">
        <v>1016</v>
      </c>
      <c r="C52">
        <v>2</v>
      </c>
    </row>
    <row r="53" spans="1:3" x14ac:dyDescent="0.25">
      <c r="A53" t="s">
        <v>1140</v>
      </c>
      <c r="B53" t="s">
        <v>77</v>
      </c>
      <c r="C53">
        <v>2</v>
      </c>
    </row>
    <row r="54" spans="1:3" x14ac:dyDescent="0.25">
      <c r="A54" t="s">
        <v>1236</v>
      </c>
      <c r="B54" t="s">
        <v>241</v>
      </c>
      <c r="C54">
        <v>2</v>
      </c>
    </row>
    <row r="55" spans="1:3" x14ac:dyDescent="0.25">
      <c r="A55" t="s">
        <v>1252</v>
      </c>
      <c r="B55" t="s">
        <v>241</v>
      </c>
      <c r="C55">
        <v>2</v>
      </c>
    </row>
    <row r="56" spans="1:3" x14ac:dyDescent="0.25">
      <c r="A56" t="s">
        <v>1298</v>
      </c>
      <c r="B56" t="s">
        <v>326</v>
      </c>
      <c r="C56">
        <v>2</v>
      </c>
    </row>
    <row r="57" spans="1:3" x14ac:dyDescent="0.25">
      <c r="A57" t="s">
        <v>1325</v>
      </c>
      <c r="B57" t="s">
        <v>241</v>
      </c>
      <c r="C57">
        <v>2</v>
      </c>
    </row>
    <row r="58" spans="1:3" x14ac:dyDescent="0.25">
      <c r="A58" t="s">
        <v>1350</v>
      </c>
      <c r="B58" t="s">
        <v>1351</v>
      </c>
      <c r="C58">
        <v>2</v>
      </c>
    </row>
    <row r="59" spans="1:3" x14ac:dyDescent="0.25">
      <c r="A59" t="s">
        <v>1362</v>
      </c>
      <c r="B59" t="s">
        <v>14</v>
      </c>
      <c r="C59">
        <v>2</v>
      </c>
    </row>
    <row r="60" spans="1:3" x14ac:dyDescent="0.25">
      <c r="A60" t="s">
        <v>8</v>
      </c>
      <c r="B60" t="s">
        <v>9</v>
      </c>
      <c r="C60">
        <v>1</v>
      </c>
    </row>
    <row r="61" spans="1:3" x14ac:dyDescent="0.25">
      <c r="A61" t="s">
        <v>13</v>
      </c>
      <c r="B61" t="s">
        <v>14</v>
      </c>
      <c r="C61">
        <v>1</v>
      </c>
    </row>
    <row r="62" spans="1:3" x14ac:dyDescent="0.25">
      <c r="A62" t="s">
        <v>18</v>
      </c>
      <c r="B62" t="s">
        <v>19</v>
      </c>
      <c r="C62">
        <v>1</v>
      </c>
    </row>
    <row r="63" spans="1:3" x14ac:dyDescent="0.25">
      <c r="A63" t="s">
        <v>23</v>
      </c>
      <c r="B63" t="s">
        <v>14</v>
      </c>
      <c r="C63">
        <v>1</v>
      </c>
    </row>
    <row r="64" spans="1:3" x14ac:dyDescent="0.25">
      <c r="A64" t="s">
        <v>27</v>
      </c>
      <c r="B64" t="s">
        <v>28</v>
      </c>
      <c r="C64">
        <v>1</v>
      </c>
    </row>
    <row r="65" spans="1:3" x14ac:dyDescent="0.25">
      <c r="A65" t="s">
        <v>32</v>
      </c>
      <c r="B65" t="s">
        <v>33</v>
      </c>
      <c r="C65">
        <v>1</v>
      </c>
    </row>
    <row r="66" spans="1:3" x14ac:dyDescent="0.25">
      <c r="A66" t="s">
        <v>37</v>
      </c>
      <c r="B66" t="s">
        <v>14</v>
      </c>
      <c r="C66">
        <v>1</v>
      </c>
    </row>
    <row r="67" spans="1:3" x14ac:dyDescent="0.25">
      <c r="A67" t="s">
        <v>52</v>
      </c>
      <c r="B67" t="s">
        <v>53</v>
      </c>
      <c r="C67">
        <v>1</v>
      </c>
    </row>
    <row r="68" spans="1:3" x14ac:dyDescent="0.25">
      <c r="A68" t="s">
        <v>57</v>
      </c>
      <c r="B68" t="s">
        <v>58</v>
      </c>
      <c r="C68">
        <v>1</v>
      </c>
    </row>
    <row r="69" spans="1:3" x14ac:dyDescent="0.25">
      <c r="A69" t="s">
        <v>62</v>
      </c>
      <c r="B69" t="s">
        <v>63</v>
      </c>
      <c r="C69">
        <v>1</v>
      </c>
    </row>
    <row r="70" spans="1:3" x14ac:dyDescent="0.25">
      <c r="A70" t="s">
        <v>67</v>
      </c>
      <c r="B70" t="s">
        <v>58</v>
      </c>
      <c r="C70">
        <v>1</v>
      </c>
    </row>
    <row r="71" spans="1:3" x14ac:dyDescent="0.25">
      <c r="A71" t="s">
        <v>71</v>
      </c>
      <c r="B71" t="s">
        <v>72</v>
      </c>
      <c r="C71">
        <v>1</v>
      </c>
    </row>
    <row r="72" spans="1:3" x14ac:dyDescent="0.25">
      <c r="A72" t="s">
        <v>76</v>
      </c>
      <c r="B72" t="s">
        <v>77</v>
      </c>
      <c r="C72">
        <v>1</v>
      </c>
    </row>
    <row r="73" spans="1:3" x14ac:dyDescent="0.25">
      <c r="A73" t="s">
        <v>81</v>
      </c>
      <c r="B73" t="s">
        <v>82</v>
      </c>
      <c r="C73">
        <v>1</v>
      </c>
    </row>
    <row r="74" spans="1:3" x14ac:dyDescent="0.25">
      <c r="A74" t="s">
        <v>86</v>
      </c>
      <c r="B74" t="s">
        <v>77</v>
      </c>
      <c r="C74">
        <v>1</v>
      </c>
    </row>
    <row r="75" spans="1:3" x14ac:dyDescent="0.25">
      <c r="A75" t="s">
        <v>90</v>
      </c>
      <c r="B75" t="s">
        <v>91</v>
      </c>
      <c r="C75">
        <v>1</v>
      </c>
    </row>
    <row r="76" spans="1:3" x14ac:dyDescent="0.25">
      <c r="A76" t="s">
        <v>95</v>
      </c>
      <c r="B76" t="s">
        <v>77</v>
      </c>
      <c r="C76">
        <v>1</v>
      </c>
    </row>
    <row r="77" spans="1:3" x14ac:dyDescent="0.25">
      <c r="A77" t="s">
        <v>99</v>
      </c>
      <c r="B77" t="s">
        <v>77</v>
      </c>
      <c r="C77">
        <v>1</v>
      </c>
    </row>
    <row r="78" spans="1:3" x14ac:dyDescent="0.25">
      <c r="A78" t="s">
        <v>103</v>
      </c>
      <c r="B78" t="s">
        <v>14</v>
      </c>
      <c r="C78">
        <v>1</v>
      </c>
    </row>
    <row r="79" spans="1:3" x14ac:dyDescent="0.25">
      <c r="A79" t="s">
        <v>107</v>
      </c>
      <c r="B79" t="s">
        <v>108</v>
      </c>
      <c r="C79">
        <v>1</v>
      </c>
    </row>
    <row r="80" spans="1:3" x14ac:dyDescent="0.25">
      <c r="A80" t="s">
        <v>126</v>
      </c>
      <c r="B80" t="s">
        <v>127</v>
      </c>
      <c r="C80">
        <v>1</v>
      </c>
    </row>
    <row r="81" spans="1:3" x14ac:dyDescent="0.25">
      <c r="A81" t="s">
        <v>131</v>
      </c>
      <c r="B81" t="s">
        <v>132</v>
      </c>
      <c r="C81">
        <v>1</v>
      </c>
    </row>
    <row r="82" spans="1:3" x14ac:dyDescent="0.25">
      <c r="A82" t="s">
        <v>141</v>
      </c>
      <c r="B82" t="s">
        <v>142</v>
      </c>
      <c r="C82">
        <v>1</v>
      </c>
    </row>
    <row r="83" spans="1:3" x14ac:dyDescent="0.25">
      <c r="A83" t="s">
        <v>146</v>
      </c>
      <c r="B83" t="s">
        <v>147</v>
      </c>
      <c r="C83">
        <v>1</v>
      </c>
    </row>
    <row r="84" spans="1:3" x14ac:dyDescent="0.25">
      <c r="A84" t="s">
        <v>151</v>
      </c>
      <c r="B84" t="s">
        <v>152</v>
      </c>
      <c r="C84">
        <v>1</v>
      </c>
    </row>
    <row r="85" spans="1:3" x14ac:dyDescent="0.25">
      <c r="A85" t="s">
        <v>156</v>
      </c>
      <c r="B85" t="s">
        <v>108</v>
      </c>
      <c r="C85">
        <v>1</v>
      </c>
    </row>
    <row r="86" spans="1:3" x14ac:dyDescent="0.25">
      <c r="A86" t="s">
        <v>160</v>
      </c>
      <c r="B86" t="s">
        <v>161</v>
      </c>
      <c r="C86">
        <v>1</v>
      </c>
    </row>
    <row r="87" spans="1:3" x14ac:dyDescent="0.25">
      <c r="A87" t="s">
        <v>165</v>
      </c>
      <c r="B87" t="s">
        <v>137</v>
      </c>
      <c r="C87">
        <v>1</v>
      </c>
    </row>
    <row r="88" spans="1:3" x14ac:dyDescent="0.25">
      <c r="A88" t="s">
        <v>169</v>
      </c>
      <c r="B88" t="s">
        <v>170</v>
      </c>
      <c r="C88">
        <v>1</v>
      </c>
    </row>
    <row r="89" spans="1:3" x14ac:dyDescent="0.25">
      <c r="A89" t="s">
        <v>181</v>
      </c>
      <c r="B89" t="s">
        <v>91</v>
      </c>
      <c r="C89">
        <v>1</v>
      </c>
    </row>
    <row r="90" spans="1:3" x14ac:dyDescent="0.25">
      <c r="A90" t="s">
        <v>185</v>
      </c>
      <c r="B90" t="s">
        <v>137</v>
      </c>
      <c r="C90">
        <v>1</v>
      </c>
    </row>
    <row r="91" spans="1:3" x14ac:dyDescent="0.25">
      <c r="A91" t="s">
        <v>189</v>
      </c>
      <c r="B91" t="s">
        <v>190</v>
      </c>
      <c r="C91">
        <v>1</v>
      </c>
    </row>
    <row r="92" spans="1:3" x14ac:dyDescent="0.25">
      <c r="A92" t="s">
        <v>194</v>
      </c>
      <c r="B92" t="s">
        <v>77</v>
      </c>
      <c r="C92">
        <v>1</v>
      </c>
    </row>
    <row r="93" spans="1:3" x14ac:dyDescent="0.25">
      <c r="A93" t="s">
        <v>198</v>
      </c>
      <c r="B93" t="s">
        <v>91</v>
      </c>
      <c r="C93">
        <v>1</v>
      </c>
    </row>
    <row r="94" spans="1:3" x14ac:dyDescent="0.25">
      <c r="A94" t="s">
        <v>212</v>
      </c>
      <c r="B94" t="s">
        <v>213</v>
      </c>
      <c r="C94">
        <v>1</v>
      </c>
    </row>
    <row r="95" spans="1:3" x14ac:dyDescent="0.25">
      <c r="A95" t="s">
        <v>217</v>
      </c>
      <c r="B95" t="s">
        <v>218</v>
      </c>
      <c r="C95">
        <v>1</v>
      </c>
    </row>
    <row r="96" spans="1:3" x14ac:dyDescent="0.25">
      <c r="A96" t="s">
        <v>222</v>
      </c>
      <c r="B96" t="s">
        <v>223</v>
      </c>
      <c r="C96">
        <v>1</v>
      </c>
    </row>
    <row r="97" spans="1:3" x14ac:dyDescent="0.25">
      <c r="A97" t="s">
        <v>227</v>
      </c>
      <c r="B97" t="s">
        <v>228</v>
      </c>
      <c r="C97">
        <v>1</v>
      </c>
    </row>
    <row r="98" spans="1:3" x14ac:dyDescent="0.25">
      <c r="A98" t="s">
        <v>232</v>
      </c>
      <c r="B98" t="s">
        <v>137</v>
      </c>
      <c r="C98">
        <v>1</v>
      </c>
    </row>
    <row r="99" spans="1:3" x14ac:dyDescent="0.25">
      <c r="A99" t="s">
        <v>236</v>
      </c>
      <c r="B99" t="s">
        <v>19</v>
      </c>
      <c r="C99">
        <v>1</v>
      </c>
    </row>
    <row r="100" spans="1:3" x14ac:dyDescent="0.25">
      <c r="A100" t="s">
        <v>240</v>
      </c>
      <c r="B100" t="s">
        <v>241</v>
      </c>
      <c r="C100">
        <v>1</v>
      </c>
    </row>
    <row r="101" spans="1:3" x14ac:dyDescent="0.25">
      <c r="A101" t="s">
        <v>245</v>
      </c>
      <c r="B101" t="s">
        <v>77</v>
      </c>
      <c r="C101">
        <v>1</v>
      </c>
    </row>
    <row r="102" spans="1:3" x14ac:dyDescent="0.25">
      <c r="A102" t="s">
        <v>249</v>
      </c>
      <c r="B102" t="s">
        <v>77</v>
      </c>
      <c r="C102">
        <v>1</v>
      </c>
    </row>
    <row r="103" spans="1:3" x14ac:dyDescent="0.25">
      <c r="A103" t="s">
        <v>253</v>
      </c>
      <c r="B103" t="s">
        <v>137</v>
      </c>
      <c r="C103">
        <v>1</v>
      </c>
    </row>
    <row r="104" spans="1:3" x14ac:dyDescent="0.25">
      <c r="A104" t="s">
        <v>257</v>
      </c>
      <c r="B104" t="s">
        <v>228</v>
      </c>
      <c r="C104">
        <v>1</v>
      </c>
    </row>
    <row r="105" spans="1:3" x14ac:dyDescent="0.25">
      <c r="A105" t="s">
        <v>261</v>
      </c>
      <c r="B105" t="s">
        <v>262</v>
      </c>
      <c r="C105">
        <v>1</v>
      </c>
    </row>
    <row r="106" spans="1:3" x14ac:dyDescent="0.25">
      <c r="A106" t="s">
        <v>266</v>
      </c>
      <c r="B106" t="s">
        <v>170</v>
      </c>
      <c r="C106">
        <v>1</v>
      </c>
    </row>
    <row r="107" spans="1:3" x14ac:dyDescent="0.25">
      <c r="A107" t="s">
        <v>270</v>
      </c>
      <c r="B107" t="s">
        <v>271</v>
      </c>
      <c r="C107">
        <v>1</v>
      </c>
    </row>
    <row r="108" spans="1:3" x14ac:dyDescent="0.25">
      <c r="A108" t="s">
        <v>275</v>
      </c>
      <c r="B108" t="s">
        <v>276</v>
      </c>
      <c r="C108">
        <v>1</v>
      </c>
    </row>
    <row r="109" spans="1:3" x14ac:dyDescent="0.25">
      <c r="A109" t="s">
        <v>280</v>
      </c>
      <c r="B109" t="s">
        <v>281</v>
      </c>
      <c r="C109">
        <v>1</v>
      </c>
    </row>
    <row r="110" spans="1:3" x14ac:dyDescent="0.25">
      <c r="A110" t="s">
        <v>296</v>
      </c>
      <c r="B110" t="s">
        <v>77</v>
      </c>
      <c r="C110">
        <v>1</v>
      </c>
    </row>
    <row r="111" spans="1:3" x14ac:dyDescent="0.25">
      <c r="A111" t="s">
        <v>307</v>
      </c>
      <c r="B111" t="s">
        <v>58</v>
      </c>
      <c r="C111">
        <v>1</v>
      </c>
    </row>
    <row r="112" spans="1:3" x14ac:dyDescent="0.25">
      <c r="A112" t="s">
        <v>333</v>
      </c>
      <c r="B112" t="s">
        <v>334</v>
      </c>
      <c r="C112">
        <v>1</v>
      </c>
    </row>
    <row r="113" spans="1:3" x14ac:dyDescent="0.25">
      <c r="A113" t="s">
        <v>356</v>
      </c>
      <c r="B113" t="s">
        <v>108</v>
      </c>
      <c r="C113">
        <v>1</v>
      </c>
    </row>
    <row r="114" spans="1:3" x14ac:dyDescent="0.25">
      <c r="A114" t="s">
        <v>360</v>
      </c>
      <c r="B114" t="s">
        <v>228</v>
      </c>
      <c r="C114">
        <v>1</v>
      </c>
    </row>
    <row r="115" spans="1:3" x14ac:dyDescent="0.25">
      <c r="A115" t="s">
        <v>364</v>
      </c>
      <c r="B115" t="s">
        <v>228</v>
      </c>
      <c r="C115">
        <v>1</v>
      </c>
    </row>
    <row r="116" spans="1:3" x14ac:dyDescent="0.25">
      <c r="A116" t="s">
        <v>382</v>
      </c>
      <c r="B116" t="s">
        <v>127</v>
      </c>
      <c r="C116">
        <v>1</v>
      </c>
    </row>
    <row r="117" spans="1:3" x14ac:dyDescent="0.25">
      <c r="A117" t="s">
        <v>386</v>
      </c>
      <c r="B117" t="s">
        <v>387</v>
      </c>
      <c r="C117">
        <v>1</v>
      </c>
    </row>
    <row r="118" spans="1:3" x14ac:dyDescent="0.25">
      <c r="A118" t="s">
        <v>391</v>
      </c>
      <c r="B118" t="s">
        <v>58</v>
      </c>
      <c r="C118">
        <v>1</v>
      </c>
    </row>
    <row r="119" spans="1:3" x14ac:dyDescent="0.25">
      <c r="A119" t="s">
        <v>395</v>
      </c>
      <c r="B119" t="s">
        <v>72</v>
      </c>
      <c r="C119">
        <v>1</v>
      </c>
    </row>
    <row r="120" spans="1:3" x14ac:dyDescent="0.25">
      <c r="A120" t="s">
        <v>413</v>
      </c>
      <c r="B120" t="s">
        <v>414</v>
      </c>
      <c r="C120">
        <v>1</v>
      </c>
    </row>
    <row r="121" spans="1:3" x14ac:dyDescent="0.25">
      <c r="A121" t="s">
        <v>418</v>
      </c>
      <c r="B121" t="s">
        <v>77</v>
      </c>
      <c r="C121">
        <v>1</v>
      </c>
    </row>
    <row r="122" spans="1:3" x14ac:dyDescent="0.25">
      <c r="A122" t="s">
        <v>422</v>
      </c>
      <c r="B122" t="s">
        <v>161</v>
      </c>
      <c r="C122">
        <v>1</v>
      </c>
    </row>
    <row r="123" spans="1:3" x14ac:dyDescent="0.25">
      <c r="A123" t="s">
        <v>440</v>
      </c>
      <c r="B123" t="s">
        <v>72</v>
      </c>
      <c r="C123">
        <v>1</v>
      </c>
    </row>
    <row r="124" spans="1:3" x14ac:dyDescent="0.25">
      <c r="A124" t="s">
        <v>451</v>
      </c>
      <c r="B124" t="s">
        <v>91</v>
      </c>
      <c r="C124">
        <v>1</v>
      </c>
    </row>
    <row r="125" spans="1:3" x14ac:dyDescent="0.25">
      <c r="A125" t="s">
        <v>455</v>
      </c>
      <c r="B125" t="s">
        <v>14</v>
      </c>
      <c r="C125">
        <v>1</v>
      </c>
    </row>
    <row r="126" spans="1:3" x14ac:dyDescent="0.25">
      <c r="A126" t="s">
        <v>466</v>
      </c>
      <c r="B126" t="s">
        <v>113</v>
      </c>
      <c r="C126">
        <v>1</v>
      </c>
    </row>
    <row r="127" spans="1:3" x14ac:dyDescent="0.25">
      <c r="A127" t="s">
        <v>495</v>
      </c>
      <c r="B127" t="s">
        <v>19</v>
      </c>
      <c r="C127">
        <v>1</v>
      </c>
    </row>
    <row r="128" spans="1:3" x14ac:dyDescent="0.25">
      <c r="A128" t="s">
        <v>499</v>
      </c>
      <c r="B128" t="s">
        <v>127</v>
      </c>
      <c r="C128">
        <v>1</v>
      </c>
    </row>
    <row r="129" spans="1:3" x14ac:dyDescent="0.25">
      <c r="A129" t="s">
        <v>503</v>
      </c>
      <c r="B129" t="s">
        <v>77</v>
      </c>
      <c r="C129">
        <v>1</v>
      </c>
    </row>
    <row r="130" spans="1:3" x14ac:dyDescent="0.25">
      <c r="A130" t="s">
        <v>514</v>
      </c>
      <c r="B130" t="s">
        <v>108</v>
      </c>
      <c r="C130">
        <v>1</v>
      </c>
    </row>
    <row r="131" spans="1:3" x14ac:dyDescent="0.25">
      <c r="A131" t="s">
        <v>518</v>
      </c>
      <c r="B131" t="s">
        <v>77</v>
      </c>
      <c r="C131">
        <v>1</v>
      </c>
    </row>
    <row r="132" spans="1:3" x14ac:dyDescent="0.25">
      <c r="A132" t="s">
        <v>529</v>
      </c>
      <c r="B132" t="s">
        <v>77</v>
      </c>
      <c r="C132">
        <v>1</v>
      </c>
    </row>
    <row r="133" spans="1:3" x14ac:dyDescent="0.25">
      <c r="A133" t="s">
        <v>533</v>
      </c>
      <c r="B133" t="s">
        <v>241</v>
      </c>
      <c r="C133">
        <v>1</v>
      </c>
    </row>
    <row r="134" spans="1:3" x14ac:dyDescent="0.25">
      <c r="A134" t="s">
        <v>537</v>
      </c>
      <c r="B134" t="s">
        <v>108</v>
      </c>
      <c r="C134">
        <v>1</v>
      </c>
    </row>
    <row r="135" spans="1:3" x14ac:dyDescent="0.25">
      <c r="A135" t="s">
        <v>543</v>
      </c>
      <c r="B135" t="s">
        <v>271</v>
      </c>
      <c r="C135">
        <v>1</v>
      </c>
    </row>
    <row r="136" spans="1:3" x14ac:dyDescent="0.25">
      <c r="A136" t="s">
        <v>547</v>
      </c>
      <c r="B136" t="s">
        <v>77</v>
      </c>
      <c r="C136">
        <v>1</v>
      </c>
    </row>
    <row r="137" spans="1:3" x14ac:dyDescent="0.25">
      <c r="A137" t="s">
        <v>551</v>
      </c>
      <c r="B137" t="s">
        <v>77</v>
      </c>
      <c r="C137">
        <v>1</v>
      </c>
    </row>
    <row r="138" spans="1:3" x14ac:dyDescent="0.25">
      <c r="A138" t="s">
        <v>555</v>
      </c>
      <c r="B138" t="s">
        <v>286</v>
      </c>
      <c r="C138">
        <v>1</v>
      </c>
    </row>
    <row r="139" spans="1:3" x14ac:dyDescent="0.25">
      <c r="A139" t="s">
        <v>567</v>
      </c>
      <c r="B139" t="s">
        <v>77</v>
      </c>
      <c r="C139">
        <v>1</v>
      </c>
    </row>
    <row r="140" spans="1:3" x14ac:dyDescent="0.25">
      <c r="A140" t="s">
        <v>571</v>
      </c>
      <c r="B140" t="s">
        <v>137</v>
      </c>
      <c r="C140">
        <v>1</v>
      </c>
    </row>
    <row r="141" spans="1:3" x14ac:dyDescent="0.25">
      <c r="A141" t="s">
        <v>589</v>
      </c>
      <c r="B141" t="s">
        <v>72</v>
      </c>
      <c r="C141">
        <v>1</v>
      </c>
    </row>
    <row r="142" spans="1:3" x14ac:dyDescent="0.25">
      <c r="A142" t="s">
        <v>593</v>
      </c>
      <c r="B142" t="s">
        <v>58</v>
      </c>
      <c r="C142">
        <v>1</v>
      </c>
    </row>
    <row r="143" spans="1:3" x14ac:dyDescent="0.25">
      <c r="A143" t="s">
        <v>597</v>
      </c>
      <c r="B143" t="s">
        <v>19</v>
      </c>
      <c r="C143">
        <v>1</v>
      </c>
    </row>
    <row r="144" spans="1:3" x14ac:dyDescent="0.25">
      <c r="A144" t="s">
        <v>601</v>
      </c>
      <c r="B144" t="s">
        <v>77</v>
      </c>
      <c r="C144">
        <v>1</v>
      </c>
    </row>
    <row r="145" spans="1:3" x14ac:dyDescent="0.25">
      <c r="A145" t="s">
        <v>605</v>
      </c>
      <c r="B145" t="s">
        <v>262</v>
      </c>
      <c r="C145">
        <v>1</v>
      </c>
    </row>
    <row r="146" spans="1:3" x14ac:dyDescent="0.25">
      <c r="A146" t="s">
        <v>609</v>
      </c>
      <c r="B146" t="s">
        <v>14</v>
      </c>
      <c r="C146">
        <v>1</v>
      </c>
    </row>
    <row r="147" spans="1:3" x14ac:dyDescent="0.25">
      <c r="A147" t="s">
        <v>613</v>
      </c>
      <c r="B147" t="s">
        <v>108</v>
      </c>
      <c r="C147">
        <v>1</v>
      </c>
    </row>
    <row r="148" spans="1:3" x14ac:dyDescent="0.25">
      <c r="A148" t="s">
        <v>628</v>
      </c>
      <c r="B148" t="s">
        <v>77</v>
      </c>
      <c r="C148">
        <v>1</v>
      </c>
    </row>
    <row r="149" spans="1:3" x14ac:dyDescent="0.25">
      <c r="A149" t="s">
        <v>632</v>
      </c>
      <c r="B149" t="s">
        <v>633</v>
      </c>
      <c r="C149">
        <v>1</v>
      </c>
    </row>
    <row r="150" spans="1:3" x14ac:dyDescent="0.25">
      <c r="A150" t="s">
        <v>637</v>
      </c>
      <c r="B150" t="s">
        <v>14</v>
      </c>
      <c r="C150">
        <v>1</v>
      </c>
    </row>
    <row r="151" spans="1:3" x14ac:dyDescent="0.25">
      <c r="A151" t="s">
        <v>641</v>
      </c>
      <c r="B151" t="s">
        <v>77</v>
      </c>
      <c r="C151">
        <v>1</v>
      </c>
    </row>
    <row r="152" spans="1:3" x14ac:dyDescent="0.25">
      <c r="A152" t="s">
        <v>645</v>
      </c>
      <c r="B152" t="s">
        <v>646</v>
      </c>
      <c r="C152">
        <v>1</v>
      </c>
    </row>
    <row r="153" spans="1:3" x14ac:dyDescent="0.25">
      <c r="A153" t="s">
        <v>650</v>
      </c>
      <c r="B153" t="s">
        <v>19</v>
      </c>
      <c r="C153">
        <v>1</v>
      </c>
    </row>
    <row r="154" spans="1:3" x14ac:dyDescent="0.25">
      <c r="A154" t="s">
        <v>658</v>
      </c>
      <c r="B154" t="s">
        <v>286</v>
      </c>
      <c r="C154">
        <v>1</v>
      </c>
    </row>
    <row r="155" spans="1:3" x14ac:dyDescent="0.25">
      <c r="A155" t="s">
        <v>662</v>
      </c>
      <c r="B155" t="s">
        <v>228</v>
      </c>
      <c r="C155">
        <v>1</v>
      </c>
    </row>
    <row r="156" spans="1:3" x14ac:dyDescent="0.25">
      <c r="A156" t="s">
        <v>666</v>
      </c>
      <c r="B156" t="s">
        <v>218</v>
      </c>
      <c r="C156">
        <v>1</v>
      </c>
    </row>
    <row r="157" spans="1:3" x14ac:dyDescent="0.25">
      <c r="A157" t="s">
        <v>677</v>
      </c>
      <c r="B157" t="s">
        <v>241</v>
      </c>
      <c r="C157">
        <v>1</v>
      </c>
    </row>
    <row r="158" spans="1:3" x14ac:dyDescent="0.25">
      <c r="A158" t="s">
        <v>681</v>
      </c>
      <c r="B158" t="s">
        <v>77</v>
      </c>
      <c r="C158">
        <v>1</v>
      </c>
    </row>
    <row r="159" spans="1:3" x14ac:dyDescent="0.25">
      <c r="A159" t="s">
        <v>685</v>
      </c>
      <c r="B159" t="s">
        <v>14</v>
      </c>
      <c r="C159">
        <v>1</v>
      </c>
    </row>
    <row r="160" spans="1:3" x14ac:dyDescent="0.25">
      <c r="A160" t="s">
        <v>703</v>
      </c>
      <c r="B160" t="s">
        <v>77</v>
      </c>
      <c r="C160">
        <v>1</v>
      </c>
    </row>
    <row r="161" spans="1:3" x14ac:dyDescent="0.25">
      <c r="A161" t="s">
        <v>707</v>
      </c>
      <c r="B161" t="s">
        <v>58</v>
      </c>
      <c r="C161">
        <v>1</v>
      </c>
    </row>
    <row r="162" spans="1:3" x14ac:dyDescent="0.25">
      <c r="A162" t="s">
        <v>711</v>
      </c>
      <c r="B162" t="s">
        <v>91</v>
      </c>
      <c r="C162">
        <v>1</v>
      </c>
    </row>
    <row r="163" spans="1:3" x14ac:dyDescent="0.25">
      <c r="A163" t="s">
        <v>715</v>
      </c>
      <c r="B163" t="s">
        <v>286</v>
      </c>
      <c r="C163">
        <v>1</v>
      </c>
    </row>
    <row r="164" spans="1:3" x14ac:dyDescent="0.25">
      <c r="A164" t="s">
        <v>719</v>
      </c>
      <c r="B164" t="s">
        <v>127</v>
      </c>
      <c r="C164">
        <v>1</v>
      </c>
    </row>
    <row r="165" spans="1:3" x14ac:dyDescent="0.25">
      <c r="A165" t="s">
        <v>753</v>
      </c>
      <c r="B165" t="s">
        <v>19</v>
      </c>
      <c r="C165">
        <v>1</v>
      </c>
    </row>
    <row r="166" spans="1:3" x14ac:dyDescent="0.25">
      <c r="A166" t="s">
        <v>757</v>
      </c>
      <c r="B166" t="s">
        <v>276</v>
      </c>
      <c r="C166">
        <v>1</v>
      </c>
    </row>
    <row r="167" spans="1:3" x14ac:dyDescent="0.25">
      <c r="A167" t="s">
        <v>761</v>
      </c>
      <c r="B167" t="s">
        <v>286</v>
      </c>
      <c r="C167">
        <v>1</v>
      </c>
    </row>
    <row r="168" spans="1:3" x14ac:dyDescent="0.25">
      <c r="A168" t="s">
        <v>765</v>
      </c>
      <c r="B168" t="s">
        <v>241</v>
      </c>
      <c r="C168">
        <v>1</v>
      </c>
    </row>
    <row r="169" spans="1:3" x14ac:dyDescent="0.25">
      <c r="A169" t="s">
        <v>769</v>
      </c>
      <c r="B169" t="s">
        <v>770</v>
      </c>
      <c r="C169">
        <v>1</v>
      </c>
    </row>
    <row r="170" spans="1:3" x14ac:dyDescent="0.25">
      <c r="A170" t="s">
        <v>774</v>
      </c>
      <c r="B170" t="s">
        <v>14</v>
      </c>
      <c r="C170">
        <v>1</v>
      </c>
    </row>
    <row r="171" spans="1:3" x14ac:dyDescent="0.25">
      <c r="A171" t="s">
        <v>778</v>
      </c>
      <c r="B171" t="s">
        <v>286</v>
      </c>
      <c r="C171">
        <v>1</v>
      </c>
    </row>
    <row r="172" spans="1:3" x14ac:dyDescent="0.25">
      <c r="A172" t="s">
        <v>790</v>
      </c>
      <c r="B172" t="s">
        <v>791</v>
      </c>
      <c r="C172">
        <v>1</v>
      </c>
    </row>
    <row r="173" spans="1:3" x14ac:dyDescent="0.25">
      <c r="A173" t="s">
        <v>795</v>
      </c>
      <c r="B173" t="s">
        <v>14</v>
      </c>
      <c r="C173">
        <v>1</v>
      </c>
    </row>
    <row r="174" spans="1:3" x14ac:dyDescent="0.25">
      <c r="A174" t="s">
        <v>799</v>
      </c>
      <c r="B174" t="s">
        <v>228</v>
      </c>
      <c r="C174">
        <v>1</v>
      </c>
    </row>
    <row r="175" spans="1:3" x14ac:dyDescent="0.25">
      <c r="A175" t="s">
        <v>803</v>
      </c>
      <c r="B175" t="s">
        <v>58</v>
      </c>
      <c r="C175">
        <v>1</v>
      </c>
    </row>
    <row r="176" spans="1:3" x14ac:dyDescent="0.25">
      <c r="A176" t="s">
        <v>807</v>
      </c>
      <c r="B176" t="s">
        <v>14</v>
      </c>
      <c r="C176">
        <v>1</v>
      </c>
    </row>
    <row r="177" spans="1:3" x14ac:dyDescent="0.25">
      <c r="A177" t="s">
        <v>811</v>
      </c>
      <c r="B177" t="s">
        <v>14</v>
      </c>
      <c r="C177">
        <v>1</v>
      </c>
    </row>
    <row r="178" spans="1:3" x14ac:dyDescent="0.25">
      <c r="A178" t="s">
        <v>825</v>
      </c>
      <c r="B178" t="s">
        <v>127</v>
      </c>
      <c r="C178">
        <v>1</v>
      </c>
    </row>
    <row r="179" spans="1:3" x14ac:dyDescent="0.25">
      <c r="A179" t="s">
        <v>829</v>
      </c>
      <c r="B179" t="s">
        <v>19</v>
      </c>
      <c r="C179">
        <v>1</v>
      </c>
    </row>
    <row r="180" spans="1:3" x14ac:dyDescent="0.25">
      <c r="A180" t="s">
        <v>843</v>
      </c>
      <c r="B180" t="s">
        <v>108</v>
      </c>
      <c r="C180">
        <v>1</v>
      </c>
    </row>
    <row r="181" spans="1:3" x14ac:dyDescent="0.25">
      <c r="A181" t="s">
        <v>847</v>
      </c>
      <c r="B181" t="s">
        <v>113</v>
      </c>
      <c r="C181">
        <v>1</v>
      </c>
    </row>
    <row r="182" spans="1:3" x14ac:dyDescent="0.25">
      <c r="A182" t="s">
        <v>858</v>
      </c>
      <c r="B182" t="s">
        <v>19</v>
      </c>
      <c r="C182">
        <v>1</v>
      </c>
    </row>
    <row r="183" spans="1:3" x14ac:dyDescent="0.25">
      <c r="A183" t="s">
        <v>862</v>
      </c>
      <c r="B183" t="s">
        <v>14</v>
      </c>
      <c r="C183">
        <v>1</v>
      </c>
    </row>
    <row r="184" spans="1:3" x14ac:dyDescent="0.25">
      <c r="A184" t="s">
        <v>866</v>
      </c>
      <c r="B184" t="s">
        <v>286</v>
      </c>
      <c r="C184">
        <v>1</v>
      </c>
    </row>
    <row r="185" spans="1:3" x14ac:dyDescent="0.25">
      <c r="A185" t="s">
        <v>877</v>
      </c>
      <c r="B185" t="s">
        <v>281</v>
      </c>
      <c r="C185">
        <v>1</v>
      </c>
    </row>
    <row r="186" spans="1:3" x14ac:dyDescent="0.25">
      <c r="A186" t="s">
        <v>891</v>
      </c>
      <c r="B186" t="s">
        <v>77</v>
      </c>
      <c r="C186">
        <v>1</v>
      </c>
    </row>
    <row r="187" spans="1:3" x14ac:dyDescent="0.25">
      <c r="A187" t="s">
        <v>895</v>
      </c>
      <c r="B187" t="s">
        <v>77</v>
      </c>
      <c r="C187">
        <v>1</v>
      </c>
    </row>
    <row r="188" spans="1:3" x14ac:dyDescent="0.25">
      <c r="A188" t="s">
        <v>907</v>
      </c>
      <c r="B188" t="s">
        <v>77</v>
      </c>
      <c r="C188">
        <v>1</v>
      </c>
    </row>
    <row r="189" spans="1:3" x14ac:dyDescent="0.25">
      <c r="A189" t="s">
        <v>911</v>
      </c>
      <c r="B189" t="s">
        <v>108</v>
      </c>
      <c r="C189">
        <v>1</v>
      </c>
    </row>
    <row r="190" spans="1:3" x14ac:dyDescent="0.25">
      <c r="A190" t="s">
        <v>922</v>
      </c>
      <c r="B190" t="s">
        <v>77</v>
      </c>
      <c r="C190">
        <v>1</v>
      </c>
    </row>
    <row r="191" spans="1:3" x14ac:dyDescent="0.25">
      <c r="A191" t="s">
        <v>926</v>
      </c>
      <c r="B191" t="s">
        <v>77</v>
      </c>
      <c r="C191">
        <v>1</v>
      </c>
    </row>
    <row r="192" spans="1:3" x14ac:dyDescent="0.25">
      <c r="A192" t="s">
        <v>938</v>
      </c>
      <c r="B192" t="s">
        <v>127</v>
      </c>
      <c r="C192">
        <v>1</v>
      </c>
    </row>
    <row r="193" spans="1:3" x14ac:dyDescent="0.25">
      <c r="A193" t="s">
        <v>949</v>
      </c>
      <c r="B193" t="s">
        <v>161</v>
      </c>
      <c r="C193">
        <v>1</v>
      </c>
    </row>
    <row r="194" spans="1:3" x14ac:dyDescent="0.25">
      <c r="A194" t="s">
        <v>953</v>
      </c>
      <c r="B194" t="s">
        <v>77</v>
      </c>
      <c r="C194">
        <v>1</v>
      </c>
    </row>
    <row r="195" spans="1:3" x14ac:dyDescent="0.25">
      <c r="A195" t="s">
        <v>957</v>
      </c>
      <c r="B195" t="s">
        <v>77</v>
      </c>
      <c r="C195">
        <v>1</v>
      </c>
    </row>
    <row r="196" spans="1:3" x14ac:dyDescent="0.25">
      <c r="A196" t="s">
        <v>961</v>
      </c>
      <c r="B196" t="s">
        <v>113</v>
      </c>
      <c r="C196">
        <v>1</v>
      </c>
    </row>
    <row r="197" spans="1:3" x14ac:dyDescent="0.25">
      <c r="A197" t="s">
        <v>972</v>
      </c>
      <c r="B197" t="s">
        <v>9</v>
      </c>
      <c r="C197">
        <v>1</v>
      </c>
    </row>
    <row r="198" spans="1:3" x14ac:dyDescent="0.25">
      <c r="A198" t="s">
        <v>976</v>
      </c>
      <c r="B198" t="s">
        <v>14</v>
      </c>
      <c r="C198">
        <v>1</v>
      </c>
    </row>
    <row r="199" spans="1:3" x14ac:dyDescent="0.25">
      <c r="A199" t="s">
        <v>982</v>
      </c>
      <c r="B199" t="s">
        <v>63</v>
      </c>
      <c r="C199">
        <v>1</v>
      </c>
    </row>
    <row r="200" spans="1:3" x14ac:dyDescent="0.25">
      <c r="A200" t="s">
        <v>989</v>
      </c>
      <c r="B200" t="s">
        <v>990</v>
      </c>
      <c r="C200">
        <v>1</v>
      </c>
    </row>
    <row r="201" spans="1:3" x14ac:dyDescent="0.25">
      <c r="A201" t="s">
        <v>994</v>
      </c>
      <c r="B201" t="s">
        <v>286</v>
      </c>
      <c r="C201">
        <v>1</v>
      </c>
    </row>
    <row r="202" spans="1:3" x14ac:dyDescent="0.25">
      <c r="A202" t="s">
        <v>998</v>
      </c>
      <c r="B202" t="s">
        <v>72</v>
      </c>
      <c r="C202">
        <v>1</v>
      </c>
    </row>
    <row r="203" spans="1:3" x14ac:dyDescent="0.25">
      <c r="A203" t="s">
        <v>1002</v>
      </c>
      <c r="B203" t="s">
        <v>1003</v>
      </c>
      <c r="C203">
        <v>1</v>
      </c>
    </row>
    <row r="204" spans="1:3" x14ac:dyDescent="0.25">
      <c r="A204" t="s">
        <v>1007</v>
      </c>
      <c r="B204" t="s">
        <v>77</v>
      </c>
      <c r="C204">
        <v>1</v>
      </c>
    </row>
    <row r="205" spans="1:3" x14ac:dyDescent="0.25">
      <c r="A205" t="s">
        <v>1011</v>
      </c>
      <c r="B205" t="s">
        <v>58</v>
      </c>
      <c r="C205">
        <v>1</v>
      </c>
    </row>
    <row r="206" spans="1:3" x14ac:dyDescent="0.25">
      <c r="A206" t="s">
        <v>1023</v>
      </c>
      <c r="B206" t="s">
        <v>77</v>
      </c>
      <c r="C206">
        <v>1</v>
      </c>
    </row>
    <row r="207" spans="1:3" x14ac:dyDescent="0.25">
      <c r="A207" t="s">
        <v>1037</v>
      </c>
      <c r="B207" t="s">
        <v>414</v>
      </c>
      <c r="C207">
        <v>1</v>
      </c>
    </row>
    <row r="208" spans="1:3" x14ac:dyDescent="0.25">
      <c r="A208" t="s">
        <v>1057</v>
      </c>
      <c r="B208" t="s">
        <v>77</v>
      </c>
      <c r="C208">
        <v>1</v>
      </c>
    </row>
    <row r="209" spans="1:3" x14ac:dyDescent="0.25">
      <c r="A209" t="s">
        <v>1061</v>
      </c>
      <c r="B209" t="s">
        <v>19</v>
      </c>
      <c r="C209">
        <v>1</v>
      </c>
    </row>
    <row r="210" spans="1:3" x14ac:dyDescent="0.25">
      <c r="A210" t="s">
        <v>1065</v>
      </c>
      <c r="B210" t="s">
        <v>53</v>
      </c>
      <c r="C210">
        <v>1</v>
      </c>
    </row>
    <row r="211" spans="1:3" x14ac:dyDescent="0.25">
      <c r="A211" t="s">
        <v>1069</v>
      </c>
      <c r="B211" t="s">
        <v>1070</v>
      </c>
      <c r="C211">
        <v>1</v>
      </c>
    </row>
    <row r="212" spans="1:3" x14ac:dyDescent="0.25">
      <c r="A212" t="s">
        <v>1074</v>
      </c>
      <c r="B212" t="s">
        <v>58</v>
      </c>
      <c r="C212">
        <v>1</v>
      </c>
    </row>
    <row r="213" spans="1:3" x14ac:dyDescent="0.25">
      <c r="A213" t="s">
        <v>1078</v>
      </c>
      <c r="B213" t="s">
        <v>72</v>
      </c>
      <c r="C213">
        <v>1</v>
      </c>
    </row>
    <row r="214" spans="1:3" x14ac:dyDescent="0.25">
      <c r="A214" t="s">
        <v>1082</v>
      </c>
      <c r="B214" t="s">
        <v>1083</v>
      </c>
      <c r="C214">
        <v>1</v>
      </c>
    </row>
    <row r="215" spans="1:3" x14ac:dyDescent="0.25">
      <c r="A215" t="s">
        <v>1087</v>
      </c>
      <c r="B215" t="s">
        <v>77</v>
      </c>
      <c r="C215">
        <v>1</v>
      </c>
    </row>
    <row r="216" spans="1:3" x14ac:dyDescent="0.25">
      <c r="A216" t="s">
        <v>1091</v>
      </c>
      <c r="B216" t="s">
        <v>1092</v>
      </c>
      <c r="C216">
        <v>1</v>
      </c>
    </row>
    <row r="217" spans="1:3" x14ac:dyDescent="0.25">
      <c r="A217" t="s">
        <v>1106</v>
      </c>
      <c r="B217" t="s">
        <v>170</v>
      </c>
      <c r="C217">
        <v>1</v>
      </c>
    </row>
    <row r="218" spans="1:3" x14ac:dyDescent="0.25">
      <c r="A218" t="s">
        <v>1110</v>
      </c>
      <c r="B218" t="s">
        <v>161</v>
      </c>
      <c r="C218">
        <v>1</v>
      </c>
    </row>
    <row r="219" spans="1:3" x14ac:dyDescent="0.25">
      <c r="A219" t="s">
        <v>1114</v>
      </c>
      <c r="B219" t="s">
        <v>1115</v>
      </c>
      <c r="C219">
        <v>1</v>
      </c>
    </row>
    <row r="220" spans="1:3" x14ac:dyDescent="0.25">
      <c r="A220" t="s">
        <v>1119</v>
      </c>
      <c r="B220" t="s">
        <v>218</v>
      </c>
      <c r="C220">
        <v>1</v>
      </c>
    </row>
    <row r="221" spans="1:3" x14ac:dyDescent="0.25">
      <c r="A221" t="s">
        <v>1123</v>
      </c>
      <c r="B221" t="s">
        <v>108</v>
      </c>
      <c r="C221">
        <v>1</v>
      </c>
    </row>
    <row r="222" spans="1:3" x14ac:dyDescent="0.25">
      <c r="A222" t="s">
        <v>1127</v>
      </c>
      <c r="B222" t="s">
        <v>286</v>
      </c>
      <c r="C222">
        <v>1</v>
      </c>
    </row>
    <row r="223" spans="1:3" x14ac:dyDescent="0.25">
      <c r="A223" t="s">
        <v>1131</v>
      </c>
      <c r="B223" t="s">
        <v>58</v>
      </c>
      <c r="C223">
        <v>1</v>
      </c>
    </row>
    <row r="224" spans="1:3" x14ac:dyDescent="0.25">
      <c r="A224" t="s">
        <v>1135</v>
      </c>
      <c r="B224" t="s">
        <v>1136</v>
      </c>
      <c r="C224">
        <v>1</v>
      </c>
    </row>
    <row r="225" spans="1:3" x14ac:dyDescent="0.25">
      <c r="A225" t="s">
        <v>1147</v>
      </c>
      <c r="B225" t="s">
        <v>241</v>
      </c>
      <c r="C225">
        <v>1</v>
      </c>
    </row>
    <row r="226" spans="1:3" x14ac:dyDescent="0.25">
      <c r="A226" t="s">
        <v>1151</v>
      </c>
      <c r="B226" t="s">
        <v>108</v>
      </c>
      <c r="C226">
        <v>1</v>
      </c>
    </row>
    <row r="227" spans="1:3" x14ac:dyDescent="0.25">
      <c r="A227" t="s">
        <v>1168</v>
      </c>
      <c r="B227" t="s">
        <v>1169</v>
      </c>
      <c r="C227">
        <v>1</v>
      </c>
    </row>
    <row r="228" spans="1:3" x14ac:dyDescent="0.25">
      <c r="A228" t="s">
        <v>1173</v>
      </c>
      <c r="B228" t="s">
        <v>228</v>
      </c>
      <c r="C228">
        <v>1</v>
      </c>
    </row>
    <row r="229" spans="1:3" x14ac:dyDescent="0.25">
      <c r="A229" t="s">
        <v>1177</v>
      </c>
      <c r="B229" t="s">
        <v>77</v>
      </c>
      <c r="C229">
        <v>1</v>
      </c>
    </row>
    <row r="230" spans="1:3" x14ac:dyDescent="0.25">
      <c r="A230" t="s">
        <v>1181</v>
      </c>
      <c r="B230" t="s">
        <v>127</v>
      </c>
      <c r="C230">
        <v>1</v>
      </c>
    </row>
    <row r="231" spans="1:3" x14ac:dyDescent="0.25">
      <c r="A231" t="s">
        <v>1185</v>
      </c>
      <c r="B231" t="s">
        <v>286</v>
      </c>
      <c r="C231">
        <v>1</v>
      </c>
    </row>
    <row r="232" spans="1:3" x14ac:dyDescent="0.25">
      <c r="A232" t="s">
        <v>1189</v>
      </c>
      <c r="B232" t="s">
        <v>108</v>
      </c>
      <c r="C232">
        <v>1</v>
      </c>
    </row>
    <row r="233" spans="1:3" x14ac:dyDescent="0.25">
      <c r="A233" t="s">
        <v>1193</v>
      </c>
      <c r="B233" t="s">
        <v>77</v>
      </c>
      <c r="C233">
        <v>1</v>
      </c>
    </row>
    <row r="234" spans="1:3" x14ac:dyDescent="0.25">
      <c r="A234" t="s">
        <v>1199</v>
      </c>
      <c r="B234" t="s">
        <v>91</v>
      </c>
      <c r="C234">
        <v>1</v>
      </c>
    </row>
    <row r="235" spans="1:3" x14ac:dyDescent="0.25">
      <c r="A235" t="s">
        <v>1203</v>
      </c>
      <c r="B235" t="s">
        <v>77</v>
      </c>
      <c r="C235">
        <v>1</v>
      </c>
    </row>
    <row r="236" spans="1:3" x14ac:dyDescent="0.25">
      <c r="A236" t="s">
        <v>1207</v>
      </c>
      <c r="B236" t="s">
        <v>1208</v>
      </c>
      <c r="C236">
        <v>1</v>
      </c>
    </row>
    <row r="237" spans="1:3" x14ac:dyDescent="0.25">
      <c r="A237" t="s">
        <v>1212</v>
      </c>
      <c r="B237" t="s">
        <v>77</v>
      </c>
      <c r="C237">
        <v>1</v>
      </c>
    </row>
    <row r="238" spans="1:3" x14ac:dyDescent="0.25">
      <c r="A238" t="s">
        <v>1216</v>
      </c>
      <c r="B238" t="s">
        <v>77</v>
      </c>
      <c r="C238">
        <v>1</v>
      </c>
    </row>
    <row r="239" spans="1:3" x14ac:dyDescent="0.25">
      <c r="A239" t="s">
        <v>1220</v>
      </c>
      <c r="B239" t="s">
        <v>77</v>
      </c>
      <c r="C239">
        <v>1</v>
      </c>
    </row>
    <row r="240" spans="1:3" x14ac:dyDescent="0.25">
      <c r="A240" t="s">
        <v>1224</v>
      </c>
      <c r="B240" t="s">
        <v>77</v>
      </c>
      <c r="C240">
        <v>1</v>
      </c>
    </row>
    <row r="241" spans="1:3" x14ac:dyDescent="0.25">
      <c r="A241" t="s">
        <v>1228</v>
      </c>
      <c r="B241" t="s">
        <v>137</v>
      </c>
      <c r="C241">
        <v>1</v>
      </c>
    </row>
    <row r="242" spans="1:3" x14ac:dyDescent="0.25">
      <c r="A242" t="s">
        <v>1232</v>
      </c>
      <c r="B242" t="s">
        <v>770</v>
      </c>
      <c r="C242">
        <v>1</v>
      </c>
    </row>
    <row r="243" spans="1:3" x14ac:dyDescent="0.25">
      <c r="A243" t="s">
        <v>1243</v>
      </c>
      <c r="B243" t="s">
        <v>414</v>
      </c>
      <c r="C243">
        <v>1</v>
      </c>
    </row>
    <row r="244" spans="1:3" x14ac:dyDescent="0.25">
      <c r="A244" t="s">
        <v>1247</v>
      </c>
      <c r="B244" t="s">
        <v>1248</v>
      </c>
      <c r="C244">
        <v>1</v>
      </c>
    </row>
    <row r="245" spans="1:3" x14ac:dyDescent="0.25">
      <c r="A245" t="s">
        <v>1259</v>
      </c>
      <c r="B245" t="s">
        <v>1260</v>
      </c>
      <c r="C245">
        <v>1</v>
      </c>
    </row>
    <row r="246" spans="1:3" x14ac:dyDescent="0.25">
      <c r="A246" t="s">
        <v>1264</v>
      </c>
      <c r="B246" t="s">
        <v>241</v>
      </c>
      <c r="C246">
        <v>1</v>
      </c>
    </row>
    <row r="247" spans="1:3" x14ac:dyDescent="0.25">
      <c r="A247" t="s">
        <v>1268</v>
      </c>
      <c r="B247" t="s">
        <v>77</v>
      </c>
      <c r="C247">
        <v>1</v>
      </c>
    </row>
    <row r="248" spans="1:3" x14ac:dyDescent="0.25">
      <c r="A248" t="s">
        <v>1278</v>
      </c>
      <c r="B248" t="s">
        <v>77</v>
      </c>
      <c r="C248">
        <v>1</v>
      </c>
    </row>
    <row r="249" spans="1:3" x14ac:dyDescent="0.25">
      <c r="A249" t="s">
        <v>1285</v>
      </c>
      <c r="B249" t="s">
        <v>286</v>
      </c>
      <c r="C249">
        <v>1</v>
      </c>
    </row>
    <row r="250" spans="1:3" x14ac:dyDescent="0.25">
      <c r="A250" t="s">
        <v>1289</v>
      </c>
      <c r="B250" t="s">
        <v>108</v>
      </c>
      <c r="C250">
        <v>1</v>
      </c>
    </row>
    <row r="251" spans="1:3" x14ac:dyDescent="0.25">
      <c r="A251" t="s">
        <v>1293</v>
      </c>
      <c r="B251" t="s">
        <v>1294</v>
      </c>
      <c r="C251">
        <v>1</v>
      </c>
    </row>
    <row r="252" spans="1:3" x14ac:dyDescent="0.25">
      <c r="A252" t="s">
        <v>1305</v>
      </c>
      <c r="B252" t="s">
        <v>127</v>
      </c>
      <c r="C252">
        <v>1</v>
      </c>
    </row>
    <row r="253" spans="1:3" x14ac:dyDescent="0.25">
      <c r="A253" t="s">
        <v>1309</v>
      </c>
      <c r="B253" t="s">
        <v>77</v>
      </c>
      <c r="C253">
        <v>1</v>
      </c>
    </row>
    <row r="254" spans="1:3" x14ac:dyDescent="0.25">
      <c r="A254" t="s">
        <v>1313</v>
      </c>
      <c r="B254" t="s">
        <v>218</v>
      </c>
      <c r="C254">
        <v>1</v>
      </c>
    </row>
    <row r="255" spans="1:3" x14ac:dyDescent="0.25">
      <c r="A255" t="s">
        <v>1317</v>
      </c>
      <c r="B255" t="s">
        <v>127</v>
      </c>
      <c r="C255">
        <v>1</v>
      </c>
    </row>
    <row r="256" spans="1:3" x14ac:dyDescent="0.25">
      <c r="A256" t="s">
        <v>1321</v>
      </c>
      <c r="B256" t="s">
        <v>127</v>
      </c>
      <c r="C256">
        <v>1</v>
      </c>
    </row>
    <row r="257" spans="1:3" x14ac:dyDescent="0.25">
      <c r="A257" t="s">
        <v>1332</v>
      </c>
      <c r="B257" t="s">
        <v>77</v>
      </c>
      <c r="C257">
        <v>1</v>
      </c>
    </row>
    <row r="258" spans="1:3" x14ac:dyDescent="0.25">
      <c r="A258" t="s">
        <v>1338</v>
      </c>
      <c r="B258" t="s">
        <v>77</v>
      </c>
      <c r="C258">
        <v>1</v>
      </c>
    </row>
    <row r="259" spans="1:3" x14ac:dyDescent="0.25">
      <c r="A259" t="s">
        <v>1342</v>
      </c>
      <c r="B259" t="s">
        <v>82</v>
      </c>
      <c r="C259">
        <v>1</v>
      </c>
    </row>
    <row r="260" spans="1:3" x14ac:dyDescent="0.25">
      <c r="A260" t="s">
        <v>1346</v>
      </c>
      <c r="B260" t="s">
        <v>286</v>
      </c>
      <c r="C260">
        <v>1</v>
      </c>
    </row>
    <row r="261" spans="1:3" x14ac:dyDescent="0.25">
      <c r="A261" t="s">
        <v>1358</v>
      </c>
      <c r="B261" t="s">
        <v>14</v>
      </c>
      <c r="C261">
        <v>1</v>
      </c>
    </row>
    <row r="262" spans="1:3" x14ac:dyDescent="0.25">
      <c r="A262" t="s">
        <v>1379</v>
      </c>
      <c r="B262" t="s">
        <v>77</v>
      </c>
      <c r="C262">
        <v>1</v>
      </c>
    </row>
    <row r="263" spans="1:3" x14ac:dyDescent="0.25">
      <c r="A263" t="s">
        <v>1383</v>
      </c>
      <c r="B263" t="s">
        <v>14</v>
      </c>
      <c r="C263">
        <v>1</v>
      </c>
    </row>
    <row r="264" spans="1:3" x14ac:dyDescent="0.25">
      <c r="A264" t="s">
        <v>1387</v>
      </c>
      <c r="B264" t="s">
        <v>228</v>
      </c>
      <c r="C264">
        <v>1</v>
      </c>
    </row>
    <row r="265" spans="1:3" x14ac:dyDescent="0.25">
      <c r="A265" t="s">
        <v>1391</v>
      </c>
      <c r="B265" t="s">
        <v>262</v>
      </c>
      <c r="C265">
        <v>1</v>
      </c>
    </row>
    <row r="266" spans="1:3" x14ac:dyDescent="0.25">
      <c r="A266" t="s">
        <v>1405</v>
      </c>
      <c r="B266" t="s">
        <v>77</v>
      </c>
      <c r="C266">
        <v>1</v>
      </c>
    </row>
    <row r="267" spans="1:3" x14ac:dyDescent="0.25">
      <c r="A267" t="s">
        <v>1409</v>
      </c>
      <c r="B267" t="s">
        <v>113</v>
      </c>
      <c r="C267">
        <v>1</v>
      </c>
    </row>
    <row r="268" spans="1:3" x14ac:dyDescent="0.25">
      <c r="A268" t="s">
        <v>1413</v>
      </c>
      <c r="B268" t="s">
        <v>1414</v>
      </c>
      <c r="C268">
        <v>1</v>
      </c>
    </row>
    <row r="269" spans="1:3" x14ac:dyDescent="0.25">
      <c r="A269" t="s">
        <v>1418</v>
      </c>
      <c r="B269" t="s">
        <v>1294</v>
      </c>
      <c r="C269">
        <v>1</v>
      </c>
    </row>
    <row r="270" spans="1:3" x14ac:dyDescent="0.25">
      <c r="A270" t="s">
        <v>1425</v>
      </c>
      <c r="B270" t="s">
        <v>241</v>
      </c>
      <c r="C270">
        <v>1</v>
      </c>
    </row>
    <row r="271" spans="1:3" x14ac:dyDescent="0.25">
      <c r="A271" t="s">
        <v>1429</v>
      </c>
      <c r="B271" t="s">
        <v>77</v>
      </c>
      <c r="C271">
        <v>1</v>
      </c>
    </row>
    <row r="272" spans="1:3" x14ac:dyDescent="0.25">
      <c r="A272" t="s">
        <v>1433</v>
      </c>
      <c r="B272" t="s">
        <v>1092</v>
      </c>
      <c r="C272">
        <v>1</v>
      </c>
    </row>
    <row r="273" spans="1:3" x14ac:dyDescent="0.25">
      <c r="A273" t="s">
        <v>1437</v>
      </c>
      <c r="B273" t="s">
        <v>28</v>
      </c>
      <c r="C273">
        <v>1</v>
      </c>
    </row>
    <row r="274" spans="1:3" x14ac:dyDescent="0.25">
      <c r="A274" t="s">
        <v>1441</v>
      </c>
      <c r="B274" t="s">
        <v>1092</v>
      </c>
      <c r="C274">
        <v>1</v>
      </c>
    </row>
    <row r="275" spans="1:3" x14ac:dyDescent="0.25">
      <c r="A275" t="s">
        <v>1445</v>
      </c>
      <c r="B275" t="s">
        <v>170</v>
      </c>
      <c r="C275">
        <v>1</v>
      </c>
    </row>
    <row r="276" spans="1:3" x14ac:dyDescent="0.25">
      <c r="A276" t="s">
        <v>1449</v>
      </c>
      <c r="B276" t="s">
        <v>1450</v>
      </c>
      <c r="C276">
        <v>1</v>
      </c>
    </row>
    <row r="277" spans="1:3" x14ac:dyDescent="0.25">
      <c r="A277" t="s">
        <v>1454</v>
      </c>
      <c r="B277" t="s">
        <v>77</v>
      </c>
      <c r="C277">
        <v>1</v>
      </c>
    </row>
  </sheetData>
  <sortState xmlns:xlrd2="http://schemas.microsoft.com/office/spreadsheetml/2017/richdata2" ref="A2:C277">
    <sortCondition descending="1" ref="C2:C27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FC2D9-A5A1-42E6-96F0-E88E4F0F27B9}">
  <dimension ref="A1:F65"/>
  <sheetViews>
    <sheetView tabSelected="1" workbookViewId="0">
      <selection activeCell="C2" sqref="C2"/>
    </sheetView>
  </sheetViews>
  <sheetFormatPr defaultRowHeight="15" x14ac:dyDescent="0.25"/>
  <cols>
    <col min="1" max="1" width="21.7109375" bestFit="1" customWidth="1"/>
    <col min="3" max="3" width="23.42578125" bestFit="1" customWidth="1"/>
  </cols>
  <sheetData>
    <row r="1" spans="1:6" x14ac:dyDescent="0.25">
      <c r="A1" t="s">
        <v>3</v>
      </c>
      <c r="B1" t="s">
        <v>1461</v>
      </c>
      <c r="C1" t="s">
        <v>1632</v>
      </c>
      <c r="D1" t="s">
        <v>1633</v>
      </c>
      <c r="E1" t="s">
        <v>1462</v>
      </c>
      <c r="F1" t="s">
        <v>1463</v>
      </c>
    </row>
    <row r="2" spans="1:6" x14ac:dyDescent="0.25">
      <c r="A2" t="s">
        <v>1041</v>
      </c>
      <c r="B2" t="s">
        <v>1464</v>
      </c>
      <c r="C2" t="s">
        <v>1465</v>
      </c>
      <c r="D2">
        <v>7.8</v>
      </c>
      <c r="E2" t="s">
        <v>1466</v>
      </c>
      <c r="F2" t="s">
        <v>1467</v>
      </c>
    </row>
    <row r="3" spans="1:6" x14ac:dyDescent="0.25">
      <c r="A3" t="s">
        <v>1486</v>
      </c>
      <c r="B3" t="s">
        <v>1464</v>
      </c>
      <c r="C3" t="s">
        <v>1465</v>
      </c>
      <c r="D3">
        <v>-36</v>
      </c>
      <c r="E3" t="s">
        <v>1468</v>
      </c>
      <c r="F3" t="s">
        <v>1469</v>
      </c>
    </row>
    <row r="4" spans="1:6" x14ac:dyDescent="0.25">
      <c r="A4" t="s">
        <v>1487</v>
      </c>
      <c r="B4" t="s">
        <v>1464</v>
      </c>
      <c r="C4" t="s">
        <v>1470</v>
      </c>
      <c r="D4">
        <v>7.6</v>
      </c>
      <c r="E4" t="s">
        <v>1468</v>
      </c>
      <c r="F4" t="s">
        <v>1471</v>
      </c>
    </row>
    <row r="5" spans="1:6" x14ac:dyDescent="0.25">
      <c r="A5" t="s">
        <v>1488</v>
      </c>
      <c r="B5" t="s">
        <v>1464</v>
      </c>
      <c r="C5" t="s">
        <v>1470</v>
      </c>
      <c r="D5">
        <v>6.3</v>
      </c>
      <c r="E5" t="s">
        <v>1472</v>
      </c>
      <c r="F5" t="s">
        <v>1471</v>
      </c>
    </row>
    <row r="6" spans="1:6" x14ac:dyDescent="0.25">
      <c r="A6" t="s">
        <v>1489</v>
      </c>
      <c r="B6" t="s">
        <v>1464</v>
      </c>
      <c r="C6" t="s">
        <v>1470</v>
      </c>
      <c r="D6">
        <v>-37</v>
      </c>
      <c r="E6" t="s">
        <v>1468</v>
      </c>
      <c r="F6" t="s">
        <v>1469</v>
      </c>
    </row>
    <row r="7" spans="1:6" x14ac:dyDescent="0.25">
      <c r="A7" t="s">
        <v>1490</v>
      </c>
      <c r="B7" t="s">
        <v>1473</v>
      </c>
      <c r="C7" t="s">
        <v>1474</v>
      </c>
      <c r="D7">
        <v>-35</v>
      </c>
      <c r="E7" t="s">
        <v>1468</v>
      </c>
      <c r="F7" t="s">
        <v>1469</v>
      </c>
    </row>
    <row r="8" spans="1:6" x14ac:dyDescent="0.25">
      <c r="A8" t="s">
        <v>1491</v>
      </c>
      <c r="B8" t="s">
        <v>1464</v>
      </c>
      <c r="C8" t="s">
        <v>1475</v>
      </c>
      <c r="D8">
        <v>12.6</v>
      </c>
      <c r="E8" t="s">
        <v>1476</v>
      </c>
      <c r="F8" t="s">
        <v>1477</v>
      </c>
    </row>
    <row r="9" spans="1:6" x14ac:dyDescent="0.25">
      <c r="A9" t="s">
        <v>1492</v>
      </c>
      <c r="B9" t="s">
        <v>1464</v>
      </c>
      <c r="C9" t="s">
        <v>1475</v>
      </c>
      <c r="D9">
        <v>7.7</v>
      </c>
      <c r="E9" t="s">
        <v>1478</v>
      </c>
      <c r="F9" t="s">
        <v>1479</v>
      </c>
    </row>
    <row r="10" spans="1:6" x14ac:dyDescent="0.25">
      <c r="A10" t="s">
        <v>1493</v>
      </c>
      <c r="B10" t="s">
        <v>1464</v>
      </c>
      <c r="C10" t="s">
        <v>1475</v>
      </c>
      <c r="D10">
        <v>-24</v>
      </c>
      <c r="E10" t="s">
        <v>1468</v>
      </c>
      <c r="F10" t="s">
        <v>1469</v>
      </c>
    </row>
    <row r="11" spans="1:6" x14ac:dyDescent="0.25">
      <c r="A11" t="s">
        <v>1494</v>
      </c>
      <c r="B11" t="s">
        <v>1464</v>
      </c>
      <c r="C11" t="s">
        <v>1480</v>
      </c>
      <c r="D11">
        <v>12.9</v>
      </c>
      <c r="E11" t="s">
        <v>1476</v>
      </c>
      <c r="F11" t="s">
        <v>1477</v>
      </c>
    </row>
    <row r="12" spans="1:6" x14ac:dyDescent="0.25">
      <c r="A12" t="s">
        <v>1495</v>
      </c>
      <c r="B12" t="s">
        <v>1464</v>
      </c>
      <c r="C12" t="s">
        <v>1480</v>
      </c>
      <c r="D12">
        <v>8.1</v>
      </c>
      <c r="E12" t="s">
        <v>1481</v>
      </c>
      <c r="F12" t="s">
        <v>1482</v>
      </c>
    </row>
    <row r="13" spans="1:6" x14ac:dyDescent="0.25">
      <c r="A13" t="s">
        <v>1496</v>
      </c>
      <c r="B13" t="s">
        <v>1464</v>
      </c>
      <c r="C13" t="s">
        <v>1480</v>
      </c>
      <c r="D13">
        <v>7.5</v>
      </c>
      <c r="E13" t="s">
        <v>1472</v>
      </c>
      <c r="F13" t="s">
        <v>1482</v>
      </c>
    </row>
    <row r="14" spans="1:6" x14ac:dyDescent="0.25">
      <c r="A14" t="s">
        <v>1497</v>
      </c>
      <c r="B14" t="s">
        <v>1464</v>
      </c>
      <c r="C14" t="s">
        <v>1480</v>
      </c>
      <c r="D14">
        <v>-25</v>
      </c>
      <c r="E14" t="s">
        <v>1468</v>
      </c>
      <c r="F14" t="s">
        <v>1469</v>
      </c>
    </row>
    <row r="15" spans="1:6" x14ac:dyDescent="0.25">
      <c r="A15" t="s">
        <v>1498</v>
      </c>
      <c r="B15" t="s">
        <v>1464</v>
      </c>
      <c r="C15" t="s">
        <v>1483</v>
      </c>
      <c r="D15">
        <v>13.8</v>
      </c>
      <c r="E15" t="s">
        <v>1476</v>
      </c>
      <c r="F15" t="s">
        <v>1477</v>
      </c>
    </row>
    <row r="16" spans="1:6" x14ac:dyDescent="0.25">
      <c r="A16" t="s">
        <v>1499</v>
      </c>
      <c r="B16" t="s">
        <v>1464</v>
      </c>
      <c r="C16" t="s">
        <v>1483</v>
      </c>
      <c r="D16">
        <v>9.4</v>
      </c>
      <c r="E16" t="s">
        <v>1472</v>
      </c>
      <c r="F16" t="s">
        <v>1482</v>
      </c>
    </row>
    <row r="17" spans="1:6" x14ac:dyDescent="0.25">
      <c r="A17" t="s">
        <v>1500</v>
      </c>
      <c r="B17" t="s">
        <v>1464</v>
      </c>
      <c r="C17" t="s">
        <v>1483</v>
      </c>
      <c r="D17">
        <v>-24</v>
      </c>
      <c r="E17" t="s">
        <v>1468</v>
      </c>
      <c r="F17" t="s">
        <v>1469</v>
      </c>
    </row>
    <row r="18" spans="1:6" x14ac:dyDescent="0.25">
      <c r="A18" t="s">
        <v>1501</v>
      </c>
      <c r="B18" t="s">
        <v>1464</v>
      </c>
      <c r="C18" t="s">
        <v>1484</v>
      </c>
      <c r="D18">
        <v>12.8</v>
      </c>
      <c r="E18" t="s">
        <v>1476</v>
      </c>
      <c r="F18" t="s">
        <v>1477</v>
      </c>
    </row>
    <row r="19" spans="1:6" x14ac:dyDescent="0.25">
      <c r="A19" t="s">
        <v>1502</v>
      </c>
      <c r="B19" t="s">
        <v>1464</v>
      </c>
      <c r="C19" t="s">
        <v>1484</v>
      </c>
      <c r="D19">
        <v>8.3000000000000007</v>
      </c>
      <c r="E19" t="s">
        <v>1478</v>
      </c>
      <c r="F19" t="s">
        <v>1479</v>
      </c>
    </row>
    <row r="20" spans="1:6" x14ac:dyDescent="0.25">
      <c r="A20" t="s">
        <v>1503</v>
      </c>
      <c r="B20" t="s">
        <v>1464</v>
      </c>
      <c r="C20" t="s">
        <v>1484</v>
      </c>
      <c r="D20">
        <v>-24</v>
      </c>
      <c r="E20" t="s">
        <v>1468</v>
      </c>
      <c r="F20" t="s">
        <v>1469</v>
      </c>
    </row>
    <row r="21" spans="1:6" x14ac:dyDescent="0.25">
      <c r="A21" t="s">
        <v>1504</v>
      </c>
      <c r="B21" t="s">
        <v>1464</v>
      </c>
      <c r="C21" t="s">
        <v>1485</v>
      </c>
      <c r="D21">
        <v>13</v>
      </c>
      <c r="E21" t="s">
        <v>1476</v>
      </c>
      <c r="F21" t="s">
        <v>1477</v>
      </c>
    </row>
    <row r="22" spans="1:6" x14ac:dyDescent="0.25">
      <c r="A22" t="s">
        <v>1505</v>
      </c>
      <c r="B22" t="s">
        <v>1464</v>
      </c>
      <c r="C22" t="s">
        <v>1485</v>
      </c>
      <c r="D22">
        <v>8.3000000000000007</v>
      </c>
      <c r="E22" t="s">
        <v>1478</v>
      </c>
      <c r="F22" t="s">
        <v>1479</v>
      </c>
    </row>
    <row r="23" spans="1:6" x14ac:dyDescent="0.25">
      <c r="A23" t="s">
        <v>1506</v>
      </c>
      <c r="B23" t="s">
        <v>1464</v>
      </c>
      <c r="C23" t="s">
        <v>1485</v>
      </c>
      <c r="D23">
        <v>-22</v>
      </c>
      <c r="E23" t="s">
        <v>1468</v>
      </c>
      <c r="F23" t="s">
        <v>1469</v>
      </c>
    </row>
    <row r="24" spans="1:6" x14ac:dyDescent="0.25">
      <c r="A24" t="s">
        <v>112</v>
      </c>
      <c r="B24" t="s">
        <v>1464</v>
      </c>
      <c r="C24" t="s">
        <v>1543</v>
      </c>
      <c r="D24">
        <v>8.5</v>
      </c>
      <c r="E24" t="s">
        <v>1472</v>
      </c>
      <c r="F24" t="s">
        <v>1544</v>
      </c>
    </row>
    <row r="25" spans="1:6" x14ac:dyDescent="0.25">
      <c r="A25" t="s">
        <v>1576</v>
      </c>
      <c r="B25" t="s">
        <v>1464</v>
      </c>
      <c r="C25" t="s">
        <v>1543</v>
      </c>
      <c r="D25">
        <v>7.76</v>
      </c>
      <c r="E25" t="s">
        <v>1468</v>
      </c>
      <c r="F25" t="s">
        <v>1545</v>
      </c>
    </row>
    <row r="26" spans="1:6" x14ac:dyDescent="0.25">
      <c r="A26" t="s">
        <v>1577</v>
      </c>
      <c r="B26" t="s">
        <v>1464</v>
      </c>
      <c r="C26" t="s">
        <v>1543</v>
      </c>
      <c r="D26">
        <v>7.2</v>
      </c>
      <c r="E26" t="s">
        <v>1546</v>
      </c>
      <c r="F26" t="s">
        <v>1547</v>
      </c>
    </row>
    <row r="27" spans="1:6" x14ac:dyDescent="0.25">
      <c r="A27" t="s">
        <v>1578</v>
      </c>
      <c r="B27" t="s">
        <v>1464</v>
      </c>
      <c r="C27" t="s">
        <v>1543</v>
      </c>
      <c r="D27">
        <v>7.03</v>
      </c>
      <c r="E27" t="s">
        <v>1468</v>
      </c>
      <c r="F27" t="s">
        <v>1548</v>
      </c>
    </row>
    <row r="28" spans="1:6" x14ac:dyDescent="0.25">
      <c r="A28" t="s">
        <v>1579</v>
      </c>
      <c r="B28" t="s">
        <v>1464</v>
      </c>
      <c r="C28" t="s">
        <v>1543</v>
      </c>
      <c r="D28">
        <v>6.89</v>
      </c>
      <c r="E28" t="s">
        <v>1546</v>
      </c>
      <c r="F28" t="s">
        <v>1549</v>
      </c>
    </row>
    <row r="29" spans="1:6" x14ac:dyDescent="0.25">
      <c r="A29" t="s">
        <v>1580</v>
      </c>
      <c r="B29" t="s">
        <v>1550</v>
      </c>
      <c r="C29" t="s">
        <v>1551</v>
      </c>
      <c r="D29">
        <v>8.86</v>
      </c>
      <c r="E29" t="s">
        <v>1468</v>
      </c>
      <c r="F29" t="s">
        <v>1544</v>
      </c>
    </row>
    <row r="30" spans="1:6" x14ac:dyDescent="0.25">
      <c r="A30" t="s">
        <v>1581</v>
      </c>
      <c r="B30" t="s">
        <v>1550</v>
      </c>
      <c r="C30" t="s">
        <v>1551</v>
      </c>
      <c r="D30">
        <v>8.17</v>
      </c>
      <c r="E30" t="s">
        <v>1468</v>
      </c>
      <c r="F30" t="s">
        <v>1552</v>
      </c>
    </row>
    <row r="31" spans="1:6" x14ac:dyDescent="0.25">
      <c r="A31" t="s">
        <v>1582</v>
      </c>
      <c r="B31" t="s">
        <v>1550</v>
      </c>
      <c r="C31" t="s">
        <v>1551</v>
      </c>
      <c r="D31">
        <v>7.73</v>
      </c>
      <c r="E31" t="s">
        <v>1546</v>
      </c>
      <c r="F31" t="s">
        <v>1553</v>
      </c>
    </row>
    <row r="32" spans="1:6" x14ac:dyDescent="0.25">
      <c r="A32" t="s">
        <v>1583</v>
      </c>
      <c r="B32" t="s">
        <v>1550</v>
      </c>
      <c r="C32" t="s">
        <v>1551</v>
      </c>
      <c r="D32">
        <v>5.69</v>
      </c>
      <c r="E32" t="s">
        <v>1554</v>
      </c>
      <c r="F32" t="s">
        <v>1555</v>
      </c>
    </row>
    <row r="33" spans="1:6" x14ac:dyDescent="0.25">
      <c r="A33" t="s">
        <v>1584</v>
      </c>
      <c r="B33" t="s">
        <v>1550</v>
      </c>
      <c r="C33" t="s">
        <v>1551</v>
      </c>
      <c r="D33">
        <v>2.54</v>
      </c>
      <c r="E33" t="s">
        <v>1556</v>
      </c>
      <c r="F33" t="s">
        <v>1557</v>
      </c>
    </row>
    <row r="34" spans="1:6" x14ac:dyDescent="0.25">
      <c r="A34" t="s">
        <v>1585</v>
      </c>
      <c r="B34" t="s">
        <v>1550</v>
      </c>
      <c r="C34" t="s">
        <v>1551</v>
      </c>
      <c r="D34" t="s">
        <v>1558</v>
      </c>
      <c r="E34" t="s">
        <v>1556</v>
      </c>
      <c r="F34" t="s">
        <v>1559</v>
      </c>
    </row>
    <row r="35" spans="1:6" x14ac:dyDescent="0.25">
      <c r="A35" t="s">
        <v>1586</v>
      </c>
      <c r="B35" t="s">
        <v>1550</v>
      </c>
      <c r="C35" t="s">
        <v>1560</v>
      </c>
      <c r="D35">
        <v>8.85</v>
      </c>
      <c r="E35" t="s">
        <v>1468</v>
      </c>
      <c r="F35" t="s">
        <v>1544</v>
      </c>
    </row>
    <row r="36" spans="1:6" x14ac:dyDescent="0.25">
      <c r="A36" t="s">
        <v>1587</v>
      </c>
      <c r="B36" t="s">
        <v>1550</v>
      </c>
      <c r="C36" t="s">
        <v>1560</v>
      </c>
      <c r="D36">
        <v>8.17</v>
      </c>
      <c r="E36" t="s">
        <v>1468</v>
      </c>
      <c r="F36" t="s">
        <v>1561</v>
      </c>
    </row>
    <row r="37" spans="1:6" x14ac:dyDescent="0.25">
      <c r="A37" t="s">
        <v>1588</v>
      </c>
      <c r="B37" t="s">
        <v>1550</v>
      </c>
      <c r="C37" t="s">
        <v>1560</v>
      </c>
      <c r="D37">
        <v>7.74</v>
      </c>
      <c r="E37" t="s">
        <v>1546</v>
      </c>
      <c r="F37" t="s">
        <v>1553</v>
      </c>
    </row>
    <row r="38" spans="1:6" x14ac:dyDescent="0.25">
      <c r="A38" t="s">
        <v>1589</v>
      </c>
      <c r="B38" t="s">
        <v>1550</v>
      </c>
      <c r="C38" t="s">
        <v>1560</v>
      </c>
      <c r="D38">
        <v>4.63</v>
      </c>
      <c r="E38" t="s">
        <v>1556</v>
      </c>
      <c r="F38" t="s">
        <v>1562</v>
      </c>
    </row>
    <row r="39" spans="1:6" x14ac:dyDescent="0.25">
      <c r="A39" t="s">
        <v>1590</v>
      </c>
      <c r="B39" t="s">
        <v>1550</v>
      </c>
      <c r="C39" t="s">
        <v>1560</v>
      </c>
      <c r="D39">
        <v>3.48</v>
      </c>
      <c r="E39" t="s">
        <v>1556</v>
      </c>
      <c r="F39" t="s">
        <v>1563</v>
      </c>
    </row>
    <row r="40" spans="1:6" x14ac:dyDescent="0.25">
      <c r="A40" t="s">
        <v>1591</v>
      </c>
      <c r="B40" t="s">
        <v>1550</v>
      </c>
      <c r="C40" t="s">
        <v>1560</v>
      </c>
      <c r="D40">
        <v>1.91</v>
      </c>
      <c r="E40" t="s">
        <v>1556</v>
      </c>
      <c r="F40" t="s">
        <v>1564</v>
      </c>
    </row>
    <row r="41" spans="1:6" x14ac:dyDescent="0.25">
      <c r="A41" t="s">
        <v>1592</v>
      </c>
      <c r="B41" t="s">
        <v>1550</v>
      </c>
      <c r="C41" t="s">
        <v>1565</v>
      </c>
      <c r="D41">
        <v>8.42</v>
      </c>
      <c r="E41" t="s">
        <v>1472</v>
      </c>
      <c r="F41" t="s">
        <v>1544</v>
      </c>
    </row>
    <row r="42" spans="1:6" x14ac:dyDescent="0.25">
      <c r="A42" t="s">
        <v>1593</v>
      </c>
      <c r="B42" t="s">
        <v>1550</v>
      </c>
      <c r="C42" t="s">
        <v>1565</v>
      </c>
      <c r="D42">
        <v>7.78</v>
      </c>
      <c r="E42" t="s">
        <v>1468</v>
      </c>
      <c r="F42" t="s">
        <v>1566</v>
      </c>
    </row>
    <row r="43" spans="1:6" x14ac:dyDescent="0.25">
      <c r="A43" t="s">
        <v>1594</v>
      </c>
      <c r="B43" t="s">
        <v>1550</v>
      </c>
      <c r="C43" t="s">
        <v>1565</v>
      </c>
      <c r="D43">
        <v>7.19</v>
      </c>
      <c r="E43" t="s">
        <v>1546</v>
      </c>
      <c r="F43" t="s">
        <v>1567</v>
      </c>
    </row>
    <row r="44" spans="1:6" x14ac:dyDescent="0.25">
      <c r="A44" t="s">
        <v>1595</v>
      </c>
      <c r="B44" t="s">
        <v>1550</v>
      </c>
      <c r="C44" t="s">
        <v>1565</v>
      </c>
      <c r="D44">
        <v>6.96</v>
      </c>
      <c r="E44" t="s">
        <v>1468</v>
      </c>
      <c r="F44" t="s">
        <v>1568</v>
      </c>
    </row>
    <row r="45" spans="1:6" x14ac:dyDescent="0.25">
      <c r="A45" t="s">
        <v>1596</v>
      </c>
      <c r="B45" t="s">
        <v>1550</v>
      </c>
      <c r="C45" t="s">
        <v>1565</v>
      </c>
      <c r="D45">
        <v>6.85</v>
      </c>
      <c r="E45" t="s">
        <v>1546</v>
      </c>
      <c r="F45" t="s">
        <v>1569</v>
      </c>
    </row>
    <row r="46" spans="1:6" x14ac:dyDescent="0.25">
      <c r="A46" t="s">
        <v>1597</v>
      </c>
      <c r="B46" t="s">
        <v>1550</v>
      </c>
      <c r="C46" t="s">
        <v>1565</v>
      </c>
      <c r="D46">
        <v>5.76</v>
      </c>
      <c r="E46" t="s">
        <v>1554</v>
      </c>
      <c r="F46" t="s">
        <v>1555</v>
      </c>
    </row>
    <row r="47" spans="1:6" x14ac:dyDescent="0.25">
      <c r="A47" t="s">
        <v>1598</v>
      </c>
      <c r="B47" t="s">
        <v>1550</v>
      </c>
      <c r="C47" t="s">
        <v>1565</v>
      </c>
      <c r="D47">
        <v>5.48</v>
      </c>
      <c r="E47" t="s">
        <v>1554</v>
      </c>
      <c r="F47" t="s">
        <v>1570</v>
      </c>
    </row>
    <row r="48" spans="1:6" x14ac:dyDescent="0.25">
      <c r="A48" t="s">
        <v>1599</v>
      </c>
      <c r="B48" t="s">
        <v>1550</v>
      </c>
      <c r="C48" t="s">
        <v>1565</v>
      </c>
      <c r="D48">
        <v>2.2599999999999998</v>
      </c>
      <c r="E48" t="s">
        <v>1556</v>
      </c>
      <c r="F48" t="s">
        <v>1563</v>
      </c>
    </row>
    <row r="49" spans="1:6" x14ac:dyDescent="0.25">
      <c r="A49" t="s">
        <v>1600</v>
      </c>
      <c r="B49" t="s">
        <v>1550</v>
      </c>
      <c r="C49" t="s">
        <v>1565</v>
      </c>
      <c r="D49">
        <v>1.99</v>
      </c>
      <c r="E49" t="s">
        <v>1554</v>
      </c>
      <c r="F49" t="s">
        <v>1571</v>
      </c>
    </row>
    <row r="50" spans="1:6" x14ac:dyDescent="0.25">
      <c r="A50" t="s">
        <v>1601</v>
      </c>
      <c r="B50" t="s">
        <v>1550</v>
      </c>
      <c r="C50" t="s">
        <v>1565</v>
      </c>
      <c r="D50">
        <v>1.84</v>
      </c>
      <c r="E50" t="s">
        <v>1554</v>
      </c>
      <c r="F50" t="s">
        <v>1572</v>
      </c>
    </row>
    <row r="51" spans="1:6" x14ac:dyDescent="0.25">
      <c r="A51" t="s">
        <v>1602</v>
      </c>
      <c r="B51" t="s">
        <v>1550</v>
      </c>
      <c r="C51" t="s">
        <v>1573</v>
      </c>
      <c r="D51">
        <v>8.42</v>
      </c>
      <c r="E51" t="s">
        <v>1472</v>
      </c>
      <c r="F51" t="s">
        <v>1544</v>
      </c>
    </row>
    <row r="52" spans="1:6" x14ac:dyDescent="0.25">
      <c r="A52" t="s">
        <v>1603</v>
      </c>
      <c r="B52" t="s">
        <v>1550</v>
      </c>
      <c r="C52" t="s">
        <v>1573</v>
      </c>
      <c r="D52">
        <v>7.8</v>
      </c>
      <c r="E52" t="s">
        <v>1468</v>
      </c>
      <c r="F52" t="s">
        <v>1574</v>
      </c>
    </row>
    <row r="53" spans="1:6" x14ac:dyDescent="0.25">
      <c r="A53" t="s">
        <v>1604</v>
      </c>
      <c r="B53" t="s">
        <v>1550</v>
      </c>
      <c r="C53" t="s">
        <v>1573</v>
      </c>
      <c r="D53">
        <v>7.19</v>
      </c>
      <c r="E53" t="s">
        <v>1546</v>
      </c>
      <c r="F53" t="s">
        <v>1567</v>
      </c>
    </row>
    <row r="54" spans="1:6" x14ac:dyDescent="0.25">
      <c r="A54" t="s">
        <v>1605</v>
      </c>
      <c r="B54" t="s">
        <v>1550</v>
      </c>
      <c r="C54" t="s">
        <v>1573</v>
      </c>
      <c r="D54">
        <v>7.05</v>
      </c>
      <c r="E54" t="s">
        <v>1468</v>
      </c>
      <c r="F54" t="s">
        <v>1568</v>
      </c>
    </row>
    <row r="55" spans="1:6" x14ac:dyDescent="0.25">
      <c r="A55" t="s">
        <v>1606</v>
      </c>
      <c r="B55" t="s">
        <v>1550</v>
      </c>
      <c r="C55" t="s">
        <v>1573</v>
      </c>
      <c r="D55">
        <v>6.84</v>
      </c>
      <c r="E55" t="s">
        <v>1546</v>
      </c>
      <c r="F55" t="s">
        <v>1549</v>
      </c>
    </row>
    <row r="56" spans="1:6" x14ac:dyDescent="0.25">
      <c r="A56" t="s">
        <v>1607</v>
      </c>
      <c r="B56" t="s">
        <v>1550</v>
      </c>
      <c r="C56" t="s">
        <v>1573</v>
      </c>
      <c r="D56">
        <v>4.82</v>
      </c>
      <c r="E56" t="s">
        <v>1556</v>
      </c>
      <c r="F56" t="s">
        <v>1575</v>
      </c>
    </row>
    <row r="57" spans="1:6" x14ac:dyDescent="0.25">
      <c r="A57" t="s">
        <v>1608</v>
      </c>
      <c r="B57" t="s">
        <v>1550</v>
      </c>
      <c r="C57" t="s">
        <v>1573</v>
      </c>
      <c r="D57">
        <v>3.63</v>
      </c>
      <c r="E57" t="s">
        <v>1556</v>
      </c>
      <c r="F57" t="s">
        <v>1563</v>
      </c>
    </row>
    <row r="58" spans="1:6" x14ac:dyDescent="0.25">
      <c r="A58" t="s">
        <v>1609</v>
      </c>
      <c r="B58" t="s">
        <v>1550</v>
      </c>
      <c r="C58" t="s">
        <v>1573</v>
      </c>
      <c r="D58">
        <v>2.15</v>
      </c>
      <c r="E58" t="s">
        <v>1556</v>
      </c>
      <c r="F58" t="s">
        <v>1564</v>
      </c>
    </row>
    <row r="59" spans="1:6" x14ac:dyDescent="0.25">
      <c r="A59" t="s">
        <v>285</v>
      </c>
      <c r="B59" t="s">
        <v>1464</v>
      </c>
      <c r="C59" t="s">
        <v>1618</v>
      </c>
      <c r="D59">
        <v>10.18</v>
      </c>
      <c r="E59" t="s">
        <v>1472</v>
      </c>
      <c r="F59" t="s">
        <v>1619</v>
      </c>
    </row>
    <row r="60" spans="1:6" x14ac:dyDescent="0.25">
      <c r="A60" t="s">
        <v>285</v>
      </c>
      <c r="B60" t="s">
        <v>1464</v>
      </c>
      <c r="C60" t="s">
        <v>1618</v>
      </c>
      <c r="D60">
        <v>5.28</v>
      </c>
      <c r="E60" t="s">
        <v>1620</v>
      </c>
      <c r="F60" t="s">
        <v>1621</v>
      </c>
    </row>
    <row r="61" spans="1:6" x14ac:dyDescent="0.25">
      <c r="A61" t="s">
        <v>285</v>
      </c>
      <c r="B61" t="s">
        <v>1464</v>
      </c>
      <c r="C61" t="s">
        <v>1618</v>
      </c>
      <c r="D61">
        <v>4.17</v>
      </c>
      <c r="E61" t="s">
        <v>1556</v>
      </c>
      <c r="F61" t="s">
        <v>1622</v>
      </c>
    </row>
    <row r="62" spans="1:6" x14ac:dyDescent="0.25">
      <c r="A62" t="s">
        <v>285</v>
      </c>
      <c r="B62" t="s">
        <v>1623</v>
      </c>
      <c r="C62" t="s">
        <v>1618</v>
      </c>
      <c r="D62">
        <v>4.0999999999999996</v>
      </c>
      <c r="E62" t="s">
        <v>1624</v>
      </c>
      <c r="F62" t="s">
        <v>1625</v>
      </c>
    </row>
    <row r="63" spans="1:6" x14ac:dyDescent="0.25">
      <c r="A63" t="s">
        <v>285</v>
      </c>
      <c r="B63" t="s">
        <v>1464</v>
      </c>
      <c r="C63" t="s">
        <v>1618</v>
      </c>
      <c r="D63">
        <v>1.94</v>
      </c>
      <c r="E63" t="s">
        <v>1478</v>
      </c>
      <c r="F63" t="s">
        <v>1626</v>
      </c>
    </row>
    <row r="64" spans="1:6" x14ac:dyDescent="0.25">
      <c r="A64" t="s">
        <v>285</v>
      </c>
      <c r="B64" t="s">
        <v>1464</v>
      </c>
      <c r="C64" t="s">
        <v>1618</v>
      </c>
      <c r="D64">
        <v>-0.46</v>
      </c>
      <c r="E64" t="s">
        <v>1554</v>
      </c>
      <c r="F64" t="s">
        <v>1627</v>
      </c>
    </row>
    <row r="65" spans="1:6" x14ac:dyDescent="0.25">
      <c r="A65" t="s">
        <v>285</v>
      </c>
      <c r="B65" t="s">
        <v>1464</v>
      </c>
      <c r="C65" t="s">
        <v>1618</v>
      </c>
      <c r="D65">
        <v>-0.48</v>
      </c>
      <c r="E65" t="s">
        <v>1554</v>
      </c>
      <c r="F65" t="s">
        <v>1628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1F683-58E0-441E-82AF-55253FDEA017}">
  <dimension ref="A1:F52"/>
  <sheetViews>
    <sheetView workbookViewId="0">
      <selection activeCell="D1" sqref="D1"/>
    </sheetView>
  </sheetViews>
  <sheetFormatPr defaultRowHeight="15" x14ac:dyDescent="0.25"/>
  <cols>
    <col min="3" max="3" width="23.42578125" bestFit="1" customWidth="1"/>
  </cols>
  <sheetData>
    <row r="1" spans="1:6" x14ac:dyDescent="0.25">
      <c r="A1" t="s">
        <v>3</v>
      </c>
      <c r="B1" t="s">
        <v>1461</v>
      </c>
      <c r="C1" t="s">
        <v>1632</v>
      </c>
      <c r="D1" t="s">
        <v>1631</v>
      </c>
      <c r="E1" t="s">
        <v>1508</v>
      </c>
      <c r="F1" t="s">
        <v>1463</v>
      </c>
    </row>
    <row r="2" spans="1:6" x14ac:dyDescent="0.25">
      <c r="A2" t="s">
        <v>1041</v>
      </c>
      <c r="B2" t="s">
        <v>1509</v>
      </c>
      <c r="C2" t="s">
        <v>1465</v>
      </c>
      <c r="D2">
        <v>388</v>
      </c>
      <c r="E2" t="s">
        <v>1510</v>
      </c>
      <c r="F2" t="s">
        <v>1511</v>
      </c>
    </row>
    <row r="3" spans="1:6" x14ac:dyDescent="0.25">
      <c r="A3" t="s">
        <v>1486</v>
      </c>
      <c r="B3" t="s">
        <v>1509</v>
      </c>
      <c r="C3" t="s">
        <v>1465</v>
      </c>
      <c r="D3">
        <v>478</v>
      </c>
      <c r="E3" t="s">
        <v>1512</v>
      </c>
    </row>
    <row r="4" spans="1:6" x14ac:dyDescent="0.25">
      <c r="A4" t="s">
        <v>1487</v>
      </c>
      <c r="B4" t="s">
        <v>1509</v>
      </c>
      <c r="C4" t="s">
        <v>1465</v>
      </c>
      <c r="D4">
        <v>574</v>
      </c>
      <c r="E4" t="s">
        <v>1513</v>
      </c>
    </row>
    <row r="5" spans="1:6" x14ac:dyDescent="0.25">
      <c r="A5" t="s">
        <v>1488</v>
      </c>
      <c r="B5" t="s">
        <v>1509</v>
      </c>
      <c r="C5" t="s">
        <v>1465</v>
      </c>
      <c r="D5">
        <v>610</v>
      </c>
      <c r="E5" t="s">
        <v>1514</v>
      </c>
    </row>
    <row r="6" spans="1:6" x14ac:dyDescent="0.25">
      <c r="A6" t="s">
        <v>1489</v>
      </c>
      <c r="B6" t="s">
        <v>1509</v>
      </c>
      <c r="C6" t="s">
        <v>1470</v>
      </c>
      <c r="D6">
        <v>385</v>
      </c>
      <c r="E6" t="s">
        <v>1515</v>
      </c>
      <c r="F6" t="s">
        <v>1511</v>
      </c>
    </row>
    <row r="7" spans="1:6" x14ac:dyDescent="0.25">
      <c r="A7" t="s">
        <v>1490</v>
      </c>
      <c r="B7" t="s">
        <v>1509</v>
      </c>
      <c r="C7" t="s">
        <v>1470</v>
      </c>
      <c r="D7">
        <v>477</v>
      </c>
      <c r="E7" t="s">
        <v>1516</v>
      </c>
    </row>
    <row r="8" spans="1:6" x14ac:dyDescent="0.25">
      <c r="A8" t="s">
        <v>1491</v>
      </c>
      <c r="B8" t="s">
        <v>1509</v>
      </c>
      <c r="C8" t="s">
        <v>1470</v>
      </c>
      <c r="D8">
        <v>569</v>
      </c>
      <c r="E8" t="s">
        <v>1517</v>
      </c>
    </row>
    <row r="9" spans="1:6" x14ac:dyDescent="0.25">
      <c r="A9" t="s">
        <v>1492</v>
      </c>
      <c r="B9" t="s">
        <v>1509</v>
      </c>
      <c r="C9" t="s">
        <v>1474</v>
      </c>
      <c r="D9">
        <v>372</v>
      </c>
      <c r="E9" t="s">
        <v>1518</v>
      </c>
      <c r="F9" t="s">
        <v>1511</v>
      </c>
    </row>
    <row r="10" spans="1:6" x14ac:dyDescent="0.25">
      <c r="A10" t="s">
        <v>1493</v>
      </c>
      <c r="B10" t="s">
        <v>1509</v>
      </c>
      <c r="C10" t="s">
        <v>1474</v>
      </c>
      <c r="D10">
        <v>463</v>
      </c>
      <c r="E10" t="s">
        <v>1519</v>
      </c>
    </row>
    <row r="11" spans="1:6" x14ac:dyDescent="0.25">
      <c r="A11" t="s">
        <v>1494</v>
      </c>
      <c r="B11" t="s">
        <v>1509</v>
      </c>
      <c r="C11" t="s">
        <v>1474</v>
      </c>
      <c r="D11">
        <v>558</v>
      </c>
      <c r="E11" t="s">
        <v>1520</v>
      </c>
    </row>
    <row r="12" spans="1:6" x14ac:dyDescent="0.25">
      <c r="A12" t="s">
        <v>1495</v>
      </c>
      <c r="B12" t="s">
        <v>1509</v>
      </c>
      <c r="C12" t="s">
        <v>1475</v>
      </c>
      <c r="D12">
        <v>386</v>
      </c>
      <c r="E12" t="s">
        <v>1521</v>
      </c>
      <c r="F12" t="s">
        <v>1511</v>
      </c>
    </row>
    <row r="13" spans="1:6" x14ac:dyDescent="0.25">
      <c r="A13" t="s">
        <v>1496</v>
      </c>
      <c r="B13" t="s">
        <v>1509</v>
      </c>
      <c r="C13" t="s">
        <v>1475</v>
      </c>
      <c r="D13">
        <v>476</v>
      </c>
      <c r="E13" t="s">
        <v>1522</v>
      </c>
    </row>
    <row r="14" spans="1:6" x14ac:dyDescent="0.25">
      <c r="A14" t="s">
        <v>1497</v>
      </c>
      <c r="B14" t="s">
        <v>1509</v>
      </c>
      <c r="C14" t="s">
        <v>1475</v>
      </c>
      <c r="D14">
        <v>580</v>
      </c>
      <c r="E14" t="s">
        <v>1523</v>
      </c>
    </row>
    <row r="15" spans="1:6" x14ac:dyDescent="0.25">
      <c r="A15" t="s">
        <v>1498</v>
      </c>
      <c r="B15" t="s">
        <v>1509</v>
      </c>
      <c r="C15" t="s">
        <v>1475</v>
      </c>
      <c r="D15">
        <v>618</v>
      </c>
      <c r="E15" t="s">
        <v>1524</v>
      </c>
    </row>
    <row r="16" spans="1:6" x14ac:dyDescent="0.25">
      <c r="A16" t="s">
        <v>1499</v>
      </c>
      <c r="B16" t="s">
        <v>1509</v>
      </c>
      <c r="C16" t="s">
        <v>1480</v>
      </c>
      <c r="D16">
        <v>383</v>
      </c>
      <c r="E16" t="s">
        <v>1525</v>
      </c>
      <c r="F16" t="s">
        <v>1511</v>
      </c>
    </row>
    <row r="17" spans="1:6" x14ac:dyDescent="0.25">
      <c r="A17" t="s">
        <v>1500</v>
      </c>
      <c r="B17" t="s">
        <v>1509</v>
      </c>
      <c r="C17" t="s">
        <v>1480</v>
      </c>
      <c r="D17">
        <v>478</v>
      </c>
      <c r="E17" t="s">
        <v>1526</v>
      </c>
    </row>
    <row r="18" spans="1:6" x14ac:dyDescent="0.25">
      <c r="A18" t="s">
        <v>1501</v>
      </c>
      <c r="B18" t="s">
        <v>1509</v>
      </c>
      <c r="C18" t="s">
        <v>1480</v>
      </c>
      <c r="D18">
        <v>568</v>
      </c>
      <c r="E18" t="s">
        <v>1527</v>
      </c>
    </row>
    <row r="19" spans="1:6" x14ac:dyDescent="0.25">
      <c r="A19" t="s">
        <v>1502</v>
      </c>
      <c r="B19" t="s">
        <v>1509</v>
      </c>
      <c r="C19" t="s">
        <v>1483</v>
      </c>
      <c r="D19">
        <v>360</v>
      </c>
      <c r="E19" t="s">
        <v>1528</v>
      </c>
      <c r="F19" t="s">
        <v>1511</v>
      </c>
    </row>
    <row r="20" spans="1:6" x14ac:dyDescent="0.25">
      <c r="A20" t="s">
        <v>1503</v>
      </c>
      <c r="B20" t="s">
        <v>1509</v>
      </c>
      <c r="C20" t="s">
        <v>1483</v>
      </c>
      <c r="D20">
        <v>469</v>
      </c>
      <c r="E20" t="s">
        <v>1529</v>
      </c>
    </row>
    <row r="21" spans="1:6" x14ac:dyDescent="0.25">
      <c r="A21" t="s">
        <v>1504</v>
      </c>
      <c r="B21" t="s">
        <v>1509</v>
      </c>
      <c r="C21" t="s">
        <v>1483</v>
      </c>
      <c r="D21">
        <v>570</v>
      </c>
      <c r="E21" t="s">
        <v>1530</v>
      </c>
    </row>
    <row r="22" spans="1:6" x14ac:dyDescent="0.25">
      <c r="A22" t="s">
        <v>1505</v>
      </c>
      <c r="B22" t="s">
        <v>1509</v>
      </c>
      <c r="C22" t="s">
        <v>1484</v>
      </c>
      <c r="D22">
        <v>385</v>
      </c>
      <c r="E22" t="s">
        <v>1516</v>
      </c>
      <c r="F22" t="s">
        <v>1511</v>
      </c>
    </row>
    <row r="23" spans="1:6" x14ac:dyDescent="0.25">
      <c r="A23" t="s">
        <v>1506</v>
      </c>
      <c r="B23" t="s">
        <v>1509</v>
      </c>
      <c r="C23" t="s">
        <v>1484</v>
      </c>
      <c r="D23">
        <v>478</v>
      </c>
      <c r="E23" t="s">
        <v>1531</v>
      </c>
    </row>
    <row r="24" spans="1:6" x14ac:dyDescent="0.25">
      <c r="A24" t="s">
        <v>1537</v>
      </c>
      <c r="B24" t="s">
        <v>1509</v>
      </c>
      <c r="C24" t="s">
        <v>1484</v>
      </c>
      <c r="D24">
        <v>578</v>
      </c>
      <c r="E24" t="s">
        <v>1532</v>
      </c>
    </row>
    <row r="25" spans="1:6" x14ac:dyDescent="0.25">
      <c r="A25" t="s">
        <v>1538</v>
      </c>
      <c r="B25" t="s">
        <v>1509</v>
      </c>
      <c r="C25" t="s">
        <v>1484</v>
      </c>
      <c r="D25">
        <v>618</v>
      </c>
      <c r="E25" t="s">
        <v>1533</v>
      </c>
    </row>
    <row r="26" spans="1:6" x14ac:dyDescent="0.25">
      <c r="A26" t="s">
        <v>1539</v>
      </c>
      <c r="B26" t="s">
        <v>1509</v>
      </c>
      <c r="C26" t="s">
        <v>1485</v>
      </c>
      <c r="D26">
        <v>383</v>
      </c>
      <c r="E26" t="s">
        <v>1528</v>
      </c>
      <c r="F26" t="s">
        <v>1511</v>
      </c>
    </row>
    <row r="27" spans="1:6" x14ac:dyDescent="0.25">
      <c r="A27" t="s">
        <v>1540</v>
      </c>
      <c r="B27" t="s">
        <v>1509</v>
      </c>
      <c r="C27" t="s">
        <v>1485</v>
      </c>
      <c r="D27">
        <v>479</v>
      </c>
      <c r="E27" t="s">
        <v>1534</v>
      </c>
    </row>
    <row r="28" spans="1:6" x14ac:dyDescent="0.25">
      <c r="A28" t="s">
        <v>1541</v>
      </c>
      <c r="B28" t="s">
        <v>1509</v>
      </c>
      <c r="C28" t="s">
        <v>1485</v>
      </c>
      <c r="D28">
        <v>585</v>
      </c>
      <c r="E28" t="s">
        <v>1535</v>
      </c>
    </row>
    <row r="29" spans="1:6" x14ac:dyDescent="0.25">
      <c r="A29" t="s">
        <v>1542</v>
      </c>
      <c r="B29" t="s">
        <v>1509</v>
      </c>
      <c r="C29" t="s">
        <v>1485</v>
      </c>
      <c r="D29">
        <v>620</v>
      </c>
      <c r="E29" t="s">
        <v>1536</v>
      </c>
    </row>
    <row r="30" spans="1:6" x14ac:dyDescent="0.25">
      <c r="A30" t="s">
        <v>112</v>
      </c>
      <c r="B30" t="s">
        <v>1610</v>
      </c>
      <c r="C30" t="s">
        <v>1543</v>
      </c>
      <c r="D30">
        <v>430</v>
      </c>
      <c r="E30" t="s">
        <v>1611</v>
      </c>
      <c r="F30" t="s">
        <v>1511</v>
      </c>
    </row>
    <row r="31" spans="1:6" x14ac:dyDescent="0.25">
      <c r="A31" t="s">
        <v>1576</v>
      </c>
      <c r="B31" t="s">
        <v>1610</v>
      </c>
      <c r="C31" t="s">
        <v>1543</v>
      </c>
      <c r="D31">
        <v>558</v>
      </c>
      <c r="E31" t="s">
        <v>1611</v>
      </c>
      <c r="F31" t="s">
        <v>1612</v>
      </c>
    </row>
    <row r="32" spans="1:6" x14ac:dyDescent="0.25">
      <c r="A32" t="s">
        <v>1577</v>
      </c>
      <c r="B32" t="s">
        <v>1610</v>
      </c>
      <c r="C32" t="s">
        <v>1551</v>
      </c>
      <c r="D32">
        <v>428</v>
      </c>
      <c r="E32" t="s">
        <v>1611</v>
      </c>
      <c r="F32" t="s">
        <v>1511</v>
      </c>
    </row>
    <row r="33" spans="1:6" x14ac:dyDescent="0.25">
      <c r="A33" t="s">
        <v>1578</v>
      </c>
      <c r="B33" t="s">
        <v>1610</v>
      </c>
      <c r="C33" t="s">
        <v>1551</v>
      </c>
      <c r="D33">
        <v>563</v>
      </c>
      <c r="E33" t="s">
        <v>1611</v>
      </c>
      <c r="F33" t="s">
        <v>1612</v>
      </c>
    </row>
    <row r="34" spans="1:6" x14ac:dyDescent="0.25">
      <c r="A34" t="s">
        <v>1579</v>
      </c>
      <c r="B34" t="s">
        <v>1610</v>
      </c>
      <c r="C34" t="s">
        <v>1551</v>
      </c>
      <c r="D34">
        <v>603</v>
      </c>
      <c r="E34" t="s">
        <v>1611</v>
      </c>
      <c r="F34" t="s">
        <v>1612</v>
      </c>
    </row>
    <row r="35" spans="1:6" x14ac:dyDescent="0.25">
      <c r="A35" t="s">
        <v>1580</v>
      </c>
      <c r="B35" t="s">
        <v>1610</v>
      </c>
      <c r="C35" t="s">
        <v>1560</v>
      </c>
      <c r="D35">
        <v>428</v>
      </c>
      <c r="E35" t="s">
        <v>1611</v>
      </c>
      <c r="F35" t="s">
        <v>1511</v>
      </c>
    </row>
    <row r="36" spans="1:6" x14ac:dyDescent="0.25">
      <c r="A36" t="s">
        <v>1581</v>
      </c>
      <c r="B36" t="s">
        <v>1610</v>
      </c>
      <c r="C36" t="s">
        <v>1560</v>
      </c>
      <c r="D36">
        <v>564</v>
      </c>
      <c r="E36" t="s">
        <v>1611</v>
      </c>
      <c r="F36" t="s">
        <v>1612</v>
      </c>
    </row>
    <row r="37" spans="1:6" x14ac:dyDescent="0.25">
      <c r="A37" t="s">
        <v>1582</v>
      </c>
      <c r="B37" t="s">
        <v>1610</v>
      </c>
      <c r="C37" t="s">
        <v>1560</v>
      </c>
      <c r="D37">
        <v>604</v>
      </c>
      <c r="E37" t="s">
        <v>1611</v>
      </c>
      <c r="F37" t="s">
        <v>1612</v>
      </c>
    </row>
    <row r="38" spans="1:6" x14ac:dyDescent="0.25">
      <c r="A38" t="s">
        <v>1583</v>
      </c>
      <c r="B38" t="s">
        <v>1610</v>
      </c>
      <c r="C38" t="s">
        <v>1565</v>
      </c>
      <c r="D38">
        <v>443</v>
      </c>
      <c r="E38" t="s">
        <v>1611</v>
      </c>
      <c r="F38" t="s">
        <v>1511</v>
      </c>
    </row>
    <row r="39" spans="1:6" x14ac:dyDescent="0.25">
      <c r="A39" t="s">
        <v>1584</v>
      </c>
      <c r="B39" t="s">
        <v>1610</v>
      </c>
      <c r="C39" t="s">
        <v>1565</v>
      </c>
      <c r="D39">
        <v>575</v>
      </c>
      <c r="E39" t="s">
        <v>1611</v>
      </c>
      <c r="F39" t="s">
        <v>1612</v>
      </c>
    </row>
    <row r="40" spans="1:6" x14ac:dyDescent="0.25">
      <c r="A40" t="s">
        <v>1585</v>
      </c>
      <c r="B40" t="s">
        <v>1610</v>
      </c>
      <c r="C40" t="s">
        <v>1565</v>
      </c>
      <c r="D40">
        <v>626</v>
      </c>
      <c r="E40" t="s">
        <v>1611</v>
      </c>
      <c r="F40" t="s">
        <v>1612</v>
      </c>
    </row>
    <row r="41" spans="1:6" x14ac:dyDescent="0.25">
      <c r="A41" t="s">
        <v>1586</v>
      </c>
      <c r="B41" t="s">
        <v>1610</v>
      </c>
      <c r="C41" t="s">
        <v>1573</v>
      </c>
      <c r="D41">
        <v>443</v>
      </c>
      <c r="E41" t="s">
        <v>1611</v>
      </c>
      <c r="F41" t="s">
        <v>1511</v>
      </c>
    </row>
    <row r="42" spans="1:6" x14ac:dyDescent="0.25">
      <c r="A42" t="s">
        <v>1587</v>
      </c>
      <c r="B42" t="s">
        <v>1610</v>
      </c>
      <c r="C42" t="s">
        <v>1573</v>
      </c>
      <c r="D42">
        <v>576</v>
      </c>
      <c r="E42" t="s">
        <v>1611</v>
      </c>
      <c r="F42" t="s">
        <v>1612</v>
      </c>
    </row>
    <row r="43" spans="1:6" x14ac:dyDescent="0.25">
      <c r="A43" t="s">
        <v>1588</v>
      </c>
      <c r="B43" t="s">
        <v>1610</v>
      </c>
      <c r="C43" t="s">
        <v>1573</v>
      </c>
      <c r="D43">
        <v>626</v>
      </c>
      <c r="E43" t="s">
        <v>1611</v>
      </c>
      <c r="F43" t="s">
        <v>1612</v>
      </c>
    </row>
    <row r="44" spans="1:6" x14ac:dyDescent="0.25">
      <c r="A44" t="s">
        <v>1589</v>
      </c>
      <c r="B44" t="s">
        <v>1610</v>
      </c>
      <c r="C44" t="s">
        <v>1613</v>
      </c>
      <c r="D44">
        <v>478</v>
      </c>
      <c r="E44" t="s">
        <v>1611</v>
      </c>
      <c r="F44" t="s">
        <v>1614</v>
      </c>
    </row>
    <row r="45" spans="1:6" x14ac:dyDescent="0.25">
      <c r="A45" t="s">
        <v>1590</v>
      </c>
      <c r="B45" t="s">
        <v>1610</v>
      </c>
      <c r="C45" t="s">
        <v>1613</v>
      </c>
      <c r="D45">
        <v>619</v>
      </c>
      <c r="E45" t="s">
        <v>1611</v>
      </c>
      <c r="F45" t="s">
        <v>1614</v>
      </c>
    </row>
    <row r="46" spans="1:6" x14ac:dyDescent="0.25">
      <c r="A46" t="s">
        <v>1591</v>
      </c>
      <c r="B46" t="s">
        <v>1610</v>
      </c>
      <c r="C46" t="s">
        <v>1613</v>
      </c>
      <c r="D46">
        <v>675</v>
      </c>
      <c r="E46" t="s">
        <v>1611</v>
      </c>
      <c r="F46" t="s">
        <v>1614</v>
      </c>
    </row>
    <row r="47" spans="1:6" x14ac:dyDescent="0.25">
      <c r="A47" t="s">
        <v>1592</v>
      </c>
      <c r="B47" t="s">
        <v>1610</v>
      </c>
      <c r="C47" t="s">
        <v>1615</v>
      </c>
      <c r="D47">
        <v>478</v>
      </c>
      <c r="E47" t="s">
        <v>1611</v>
      </c>
      <c r="F47" t="s">
        <v>1614</v>
      </c>
    </row>
    <row r="48" spans="1:6" x14ac:dyDescent="0.25">
      <c r="A48" t="s">
        <v>1593</v>
      </c>
      <c r="B48" t="s">
        <v>1610</v>
      </c>
      <c r="C48" t="s">
        <v>1615</v>
      </c>
      <c r="D48">
        <v>621</v>
      </c>
      <c r="E48" t="s">
        <v>1611</v>
      </c>
      <c r="F48" t="s">
        <v>1614</v>
      </c>
    </row>
    <row r="49" spans="1:6" x14ac:dyDescent="0.25">
      <c r="A49" t="s">
        <v>1594</v>
      </c>
      <c r="B49" t="s">
        <v>1610</v>
      </c>
      <c r="C49" t="s">
        <v>1615</v>
      </c>
      <c r="D49">
        <v>676</v>
      </c>
      <c r="E49" t="s">
        <v>1611</v>
      </c>
      <c r="F49" t="s">
        <v>1614</v>
      </c>
    </row>
    <row r="50" spans="1:6" x14ac:dyDescent="0.25">
      <c r="A50" t="s">
        <v>285</v>
      </c>
      <c r="B50" s="2" t="s">
        <v>1610</v>
      </c>
      <c r="C50" s="2" t="s">
        <v>1618</v>
      </c>
      <c r="D50" s="1">
        <v>360</v>
      </c>
      <c r="E50" s="1">
        <v>82</v>
      </c>
      <c r="F50" s="2"/>
    </row>
    <row r="51" spans="1:6" x14ac:dyDescent="0.25">
      <c r="A51" t="s">
        <v>285</v>
      </c>
      <c r="B51" s="2" t="s">
        <v>1610</v>
      </c>
      <c r="C51" s="2" t="s">
        <v>1618</v>
      </c>
      <c r="D51" s="1">
        <v>404</v>
      </c>
      <c r="E51" s="1">
        <v>144</v>
      </c>
      <c r="F51" s="2"/>
    </row>
    <row r="52" spans="1:6" x14ac:dyDescent="0.25">
      <c r="A52" t="s">
        <v>285</v>
      </c>
      <c r="B52" t="s">
        <v>1610</v>
      </c>
      <c r="C52" t="s">
        <v>1618</v>
      </c>
      <c r="D52">
        <v>555</v>
      </c>
      <c r="E52">
        <v>17</v>
      </c>
      <c r="F52" t="s">
        <v>1629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all_structures</vt:lpstr>
      <vt:lpstr>papers</vt:lpstr>
      <vt:lpstr>nmr</vt:lpstr>
      <vt:lpstr>uvvis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Shachar Fite</dc:creator>
  <cp:lastModifiedBy>Shachar Fite</cp:lastModifiedBy>
  <dcterms:created xsi:type="dcterms:W3CDTF">2015-06-05T18:17:20Z</dcterms:created>
  <dcterms:modified xsi:type="dcterms:W3CDTF">2026-07-05T18:46:05Z</dcterms:modified>
</cp:coreProperties>
</file>